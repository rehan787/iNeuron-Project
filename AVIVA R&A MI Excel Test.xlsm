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rs815\Downloads\Project\AVIVA R_A MI Excel Test Paper\"/>
    </mc:Choice>
  </mc:AlternateContent>
  <xr:revisionPtr revIDLastSave="0" documentId="13_ncr:1_{240FD965-4B1C-40C9-A827-129790A9FEBA}" xr6:coauthVersionLast="47" xr6:coauthVersionMax="47" xr10:uidLastSave="{00000000-0000-0000-0000-000000000000}"/>
  <bookViews>
    <workbookView showHorizontalScroll="0" showVerticalScroll="0" xWindow="-108" yWindow="-108" windowWidth="23256" windowHeight="13176" activeTab="1" xr2:uid="{00000000-000D-0000-FFFF-FFFF00000000}"/>
  </bookViews>
  <sheets>
    <sheet name="Summary Sheet" sheetId="7" r:id="rId1"/>
    <sheet name="Basic" sheetId="18" r:id="rId2"/>
    <sheet name="Intermediate  " sheetId="19" r:id="rId3"/>
    <sheet name="Expert" sheetId="6" r:id="rId4"/>
    <sheet name="Sheet1" sheetId="22" state="hidden" r:id="rId5"/>
    <sheet name="Answers Sheet" sheetId="21" state="veryHidden" r:id="rId6"/>
  </sheets>
  <definedNames>
    <definedName name="_xlnm._FilterDatabase" localSheetId="1" hidden="1">Basic!$A$28:$G$44</definedName>
    <definedName name="_xlnm._FilterDatabase" localSheetId="3" hidden="1">Expert!$O$11:$AP$155</definedName>
    <definedName name="_xlpm.available" hidden="1" xlm="1">#NAME?</definedName>
    <definedName name="_xlpm.female" hidden="1" xlm="1">#NAME?</definedName>
    <definedName name="_xlpm.year13" hidden="1" xlm="1">#NAME?</definedName>
    <definedName name="Excel_test_support_4.1" localSheetId="2">'Intermediate  '!#REF!</definedName>
    <definedName name="Excel_test_support_4.1_1" localSheetId="2">'Intermediate  '!$B$121:$F$134</definedName>
  </definedNames>
  <calcPr calcId="191029"/>
  <pivotCaches>
    <pivotCache cacheId="0"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8" i="6" l="1"/>
  <c r="I59" i="6"/>
  <c r="I60" i="6"/>
  <c r="H58" i="6"/>
  <c r="H59" i="6"/>
  <c r="H60" i="6"/>
  <c r="AZ35" i="6"/>
  <c r="AY35" i="6"/>
  <c r="AZ34" i="6"/>
  <c r="AY34" i="6"/>
  <c r="BA30" i="6"/>
  <c r="AZ30" i="6"/>
  <c r="AY30" i="6"/>
  <c r="BA28" i="6"/>
  <c r="BA29" i="6"/>
  <c r="BA27" i="6"/>
  <c r="AZ27" i="6"/>
  <c r="AZ28" i="6"/>
  <c r="AZ29" i="6"/>
  <c r="AY28" i="6"/>
  <c r="AY29" i="6"/>
  <c r="AY27"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AS52" i="6"/>
  <c r="AS53" i="6"/>
  <c r="AS54" i="6"/>
  <c r="AS55" i="6"/>
  <c r="AS56" i="6"/>
  <c r="AS57" i="6"/>
  <c r="AS58" i="6"/>
  <c r="AS59" i="6"/>
  <c r="AS60" i="6"/>
  <c r="AS61" i="6"/>
  <c r="AS62" i="6"/>
  <c r="AS63" i="6"/>
  <c r="AS64" i="6"/>
  <c r="AS65" i="6"/>
  <c r="AS66" i="6"/>
  <c r="AS67" i="6"/>
  <c r="AS68" i="6"/>
  <c r="AS69" i="6"/>
  <c r="AS70" i="6"/>
  <c r="AS71" i="6"/>
  <c r="AS72" i="6"/>
  <c r="AS73" i="6"/>
  <c r="AS74" i="6"/>
  <c r="AS75" i="6"/>
  <c r="AS76" i="6"/>
  <c r="AS77" i="6"/>
  <c r="AS78" i="6"/>
  <c r="AS79" i="6"/>
  <c r="AS80" i="6"/>
  <c r="AS81" i="6"/>
  <c r="AS82" i="6"/>
  <c r="AS83" i="6"/>
  <c r="AS84" i="6"/>
  <c r="AS85" i="6"/>
  <c r="AS86" i="6"/>
  <c r="AS87" i="6"/>
  <c r="AS88" i="6"/>
  <c r="AS89" i="6"/>
  <c r="AS90" i="6"/>
  <c r="AS91" i="6"/>
  <c r="AS92" i="6"/>
  <c r="AS93" i="6"/>
  <c r="AS94" i="6"/>
  <c r="AS95" i="6"/>
  <c r="AS96" i="6"/>
  <c r="AS97" i="6"/>
  <c r="AS98" i="6"/>
  <c r="AS99" i="6"/>
  <c r="AS100" i="6"/>
  <c r="AS101" i="6"/>
  <c r="AS102" i="6"/>
  <c r="AS103" i="6"/>
  <c r="AS104" i="6"/>
  <c r="AS105" i="6"/>
  <c r="AS106" i="6"/>
  <c r="AS107" i="6"/>
  <c r="AS108" i="6"/>
  <c r="AS109" i="6"/>
  <c r="AS110" i="6"/>
  <c r="AS111" i="6"/>
  <c r="AS112" i="6"/>
  <c r="AS113" i="6"/>
  <c r="AS114" i="6"/>
  <c r="AS115" i="6"/>
  <c r="AS116" i="6"/>
  <c r="AS117" i="6"/>
  <c r="AS118" i="6"/>
  <c r="AS119" i="6"/>
  <c r="AS120" i="6"/>
  <c r="AS121" i="6"/>
  <c r="AS122" i="6"/>
  <c r="AS123" i="6"/>
  <c r="AS124" i="6"/>
  <c r="AS125" i="6"/>
  <c r="AS126" i="6"/>
  <c r="AS127" i="6"/>
  <c r="AS128" i="6"/>
  <c r="AS129" i="6"/>
  <c r="AS130" i="6"/>
  <c r="AS131" i="6"/>
  <c r="AS132" i="6"/>
  <c r="AS133" i="6"/>
  <c r="AS134" i="6"/>
  <c r="AS135" i="6"/>
  <c r="AS136" i="6"/>
  <c r="AS137" i="6"/>
  <c r="AS138" i="6"/>
  <c r="AS139" i="6"/>
  <c r="AS140" i="6"/>
  <c r="AS141" i="6"/>
  <c r="AS142" i="6"/>
  <c r="AS143" i="6"/>
  <c r="AS144" i="6"/>
  <c r="AS145" i="6"/>
  <c r="AS146" i="6"/>
  <c r="AS147" i="6"/>
  <c r="AS148" i="6"/>
  <c r="AS149" i="6"/>
  <c r="AS150" i="6"/>
  <c r="AS151" i="6"/>
  <c r="AS152" i="6"/>
  <c r="AS153" i="6"/>
  <c r="AS154" i="6"/>
  <c r="AS155" i="6"/>
  <c r="AS12" i="6"/>
  <c r="AQ13" i="6"/>
  <c r="AR13" i="6"/>
  <c r="AQ14" i="6"/>
  <c r="AR14" i="6"/>
  <c r="AQ15" i="6"/>
  <c r="AR15" i="6"/>
  <c r="AQ16" i="6"/>
  <c r="AR16" i="6"/>
  <c r="AQ17" i="6"/>
  <c r="AR17" i="6"/>
  <c r="AQ18" i="6"/>
  <c r="AR18" i="6"/>
  <c r="AQ19" i="6"/>
  <c r="AR19" i="6"/>
  <c r="AQ20" i="6"/>
  <c r="AR20" i="6"/>
  <c r="AQ21" i="6"/>
  <c r="AR21" i="6"/>
  <c r="AQ22" i="6"/>
  <c r="AR22" i="6"/>
  <c r="AQ23" i="6"/>
  <c r="AR23" i="6"/>
  <c r="AQ24" i="6"/>
  <c r="AR24" i="6"/>
  <c r="AQ25" i="6"/>
  <c r="AR25" i="6"/>
  <c r="AQ26" i="6"/>
  <c r="AR26" i="6"/>
  <c r="AQ27" i="6"/>
  <c r="AR27" i="6"/>
  <c r="AQ28" i="6"/>
  <c r="AR28" i="6"/>
  <c r="AQ29" i="6"/>
  <c r="AR29" i="6"/>
  <c r="AQ30" i="6"/>
  <c r="AR30" i="6"/>
  <c r="AQ31" i="6"/>
  <c r="AR31" i="6"/>
  <c r="AQ32" i="6"/>
  <c r="AR32" i="6"/>
  <c r="AQ33" i="6"/>
  <c r="AR33" i="6"/>
  <c r="AQ34" i="6"/>
  <c r="AR34" i="6"/>
  <c r="AQ35" i="6"/>
  <c r="AR35" i="6"/>
  <c r="AQ36" i="6"/>
  <c r="AR36" i="6"/>
  <c r="AQ37" i="6"/>
  <c r="AR37" i="6"/>
  <c r="AQ38" i="6"/>
  <c r="AR38" i="6"/>
  <c r="AQ39" i="6"/>
  <c r="AR39" i="6"/>
  <c r="AQ40" i="6"/>
  <c r="AR40" i="6"/>
  <c r="AQ41" i="6"/>
  <c r="AR41" i="6"/>
  <c r="AQ42" i="6"/>
  <c r="AR42" i="6"/>
  <c r="AQ43" i="6"/>
  <c r="AR43" i="6"/>
  <c r="AQ44" i="6"/>
  <c r="AR44" i="6"/>
  <c r="AQ45" i="6"/>
  <c r="AR45" i="6"/>
  <c r="AQ46" i="6"/>
  <c r="AR46" i="6"/>
  <c r="AQ47" i="6"/>
  <c r="AR47" i="6"/>
  <c r="AQ48" i="6"/>
  <c r="AR48" i="6"/>
  <c r="AQ49" i="6"/>
  <c r="AR49" i="6"/>
  <c r="AQ50" i="6"/>
  <c r="AR50" i="6"/>
  <c r="AQ51" i="6"/>
  <c r="AR51" i="6"/>
  <c r="AQ52" i="6"/>
  <c r="AR52" i="6"/>
  <c r="AQ53" i="6"/>
  <c r="AR53" i="6"/>
  <c r="AQ54" i="6"/>
  <c r="AR54" i="6"/>
  <c r="AQ55" i="6"/>
  <c r="AR55" i="6"/>
  <c r="AQ56" i="6"/>
  <c r="AR56" i="6"/>
  <c r="AQ57" i="6"/>
  <c r="AR57" i="6"/>
  <c r="AQ58" i="6"/>
  <c r="AR58" i="6"/>
  <c r="AQ59" i="6"/>
  <c r="AR59" i="6"/>
  <c r="AQ60" i="6"/>
  <c r="AR60" i="6"/>
  <c r="AQ61" i="6"/>
  <c r="AR61" i="6"/>
  <c r="AQ62" i="6"/>
  <c r="AR62" i="6"/>
  <c r="AQ63" i="6"/>
  <c r="AR63" i="6"/>
  <c r="AQ64" i="6"/>
  <c r="AR64" i="6"/>
  <c r="AQ65" i="6"/>
  <c r="AR65" i="6"/>
  <c r="AQ66" i="6"/>
  <c r="AR66" i="6"/>
  <c r="AQ67" i="6"/>
  <c r="AR67" i="6"/>
  <c r="AQ68" i="6"/>
  <c r="AR68" i="6"/>
  <c r="AQ69" i="6"/>
  <c r="AR69" i="6"/>
  <c r="AQ70" i="6"/>
  <c r="AR70" i="6"/>
  <c r="AQ71" i="6"/>
  <c r="AR71" i="6"/>
  <c r="AQ72" i="6"/>
  <c r="AR72" i="6"/>
  <c r="AQ73" i="6"/>
  <c r="AR73" i="6"/>
  <c r="AQ74" i="6"/>
  <c r="AR74" i="6"/>
  <c r="AQ75" i="6"/>
  <c r="AR75" i="6"/>
  <c r="AQ76" i="6"/>
  <c r="AR76" i="6"/>
  <c r="AQ77" i="6"/>
  <c r="AR77" i="6"/>
  <c r="AQ78" i="6"/>
  <c r="AR78" i="6"/>
  <c r="AQ79" i="6"/>
  <c r="AR79" i="6"/>
  <c r="AQ80" i="6"/>
  <c r="AR80" i="6"/>
  <c r="AQ81" i="6"/>
  <c r="AR81" i="6"/>
  <c r="AQ82" i="6"/>
  <c r="AR82" i="6"/>
  <c r="AQ83" i="6"/>
  <c r="AR83" i="6"/>
  <c r="AQ84" i="6"/>
  <c r="AR84" i="6"/>
  <c r="AQ85" i="6"/>
  <c r="AR85" i="6"/>
  <c r="AQ86" i="6"/>
  <c r="AR86" i="6"/>
  <c r="AQ87" i="6"/>
  <c r="AR87" i="6"/>
  <c r="AQ88" i="6"/>
  <c r="AR88" i="6"/>
  <c r="AQ89" i="6"/>
  <c r="AR89" i="6"/>
  <c r="AQ90" i="6"/>
  <c r="AR90" i="6"/>
  <c r="AQ91" i="6"/>
  <c r="AR91" i="6"/>
  <c r="AQ92" i="6"/>
  <c r="AR92" i="6"/>
  <c r="AQ93" i="6"/>
  <c r="AR93" i="6"/>
  <c r="AQ94" i="6"/>
  <c r="AR94" i="6"/>
  <c r="AQ95" i="6"/>
  <c r="AR95" i="6"/>
  <c r="AQ96" i="6"/>
  <c r="AR96" i="6"/>
  <c r="AQ97" i="6"/>
  <c r="AR97" i="6"/>
  <c r="AQ98" i="6"/>
  <c r="AR98" i="6"/>
  <c r="AQ99" i="6"/>
  <c r="AR99" i="6"/>
  <c r="AQ100" i="6"/>
  <c r="AR100" i="6"/>
  <c r="AQ101" i="6"/>
  <c r="AR101" i="6"/>
  <c r="AQ102" i="6"/>
  <c r="AR102" i="6"/>
  <c r="AQ103" i="6"/>
  <c r="AR103" i="6"/>
  <c r="AQ104" i="6"/>
  <c r="AR104" i="6"/>
  <c r="AQ105" i="6"/>
  <c r="AR105" i="6"/>
  <c r="AQ106" i="6"/>
  <c r="AR106" i="6"/>
  <c r="AQ107" i="6"/>
  <c r="AR107" i="6"/>
  <c r="AQ108" i="6"/>
  <c r="AR108" i="6"/>
  <c r="AQ109" i="6"/>
  <c r="AR109" i="6"/>
  <c r="AQ110" i="6"/>
  <c r="AR110" i="6"/>
  <c r="AQ111" i="6"/>
  <c r="AR111" i="6"/>
  <c r="AQ112" i="6"/>
  <c r="AR112" i="6"/>
  <c r="AQ113" i="6"/>
  <c r="AR113" i="6"/>
  <c r="AQ114" i="6"/>
  <c r="AR114" i="6"/>
  <c r="AQ115" i="6"/>
  <c r="AR115" i="6"/>
  <c r="AQ116" i="6"/>
  <c r="AR116" i="6"/>
  <c r="AQ117" i="6"/>
  <c r="AR117" i="6"/>
  <c r="AQ118" i="6"/>
  <c r="AR118" i="6"/>
  <c r="AQ119" i="6"/>
  <c r="AR119" i="6"/>
  <c r="AQ120" i="6"/>
  <c r="AR120" i="6"/>
  <c r="AQ121" i="6"/>
  <c r="AR121" i="6"/>
  <c r="AQ122" i="6"/>
  <c r="AR122" i="6"/>
  <c r="AQ123" i="6"/>
  <c r="AR123" i="6"/>
  <c r="AQ124" i="6"/>
  <c r="AR124" i="6"/>
  <c r="AQ125" i="6"/>
  <c r="AR125" i="6"/>
  <c r="AQ126" i="6"/>
  <c r="AR126" i="6"/>
  <c r="AQ127" i="6"/>
  <c r="AR127" i="6"/>
  <c r="AQ128" i="6"/>
  <c r="AR128" i="6"/>
  <c r="AQ129" i="6"/>
  <c r="AR129" i="6"/>
  <c r="AQ130" i="6"/>
  <c r="AR130" i="6"/>
  <c r="AQ131" i="6"/>
  <c r="AR131" i="6"/>
  <c r="AQ132" i="6"/>
  <c r="AR132" i="6"/>
  <c r="AQ133" i="6"/>
  <c r="AR133" i="6"/>
  <c r="AQ134" i="6"/>
  <c r="AR134" i="6"/>
  <c r="AQ135" i="6"/>
  <c r="AR135" i="6"/>
  <c r="AQ136" i="6"/>
  <c r="AR136" i="6"/>
  <c r="AQ137" i="6"/>
  <c r="AR137" i="6"/>
  <c r="AQ138" i="6"/>
  <c r="AR138" i="6"/>
  <c r="AQ139" i="6"/>
  <c r="AR139" i="6"/>
  <c r="AQ140" i="6"/>
  <c r="AR140" i="6"/>
  <c r="AQ141" i="6"/>
  <c r="AR141" i="6"/>
  <c r="AQ142" i="6"/>
  <c r="AR142" i="6"/>
  <c r="AQ143" i="6"/>
  <c r="AR143" i="6"/>
  <c r="AQ144" i="6"/>
  <c r="AR144" i="6"/>
  <c r="AQ145" i="6"/>
  <c r="AR145" i="6"/>
  <c r="AQ146" i="6"/>
  <c r="AR146" i="6"/>
  <c r="AQ147" i="6"/>
  <c r="AR147" i="6"/>
  <c r="AQ148" i="6"/>
  <c r="AR148" i="6"/>
  <c r="AQ149" i="6"/>
  <c r="AR149" i="6"/>
  <c r="AQ150" i="6"/>
  <c r="AR150" i="6"/>
  <c r="AQ151" i="6"/>
  <c r="AR151" i="6"/>
  <c r="AQ152" i="6"/>
  <c r="AR152" i="6"/>
  <c r="AQ153" i="6"/>
  <c r="AR153" i="6"/>
  <c r="AQ154" i="6"/>
  <c r="AR154" i="6"/>
  <c r="AQ155" i="6"/>
  <c r="AR155" i="6"/>
  <c r="AR12" i="6"/>
  <c r="AQ12" i="6"/>
  <c r="AV28" i="6"/>
  <c r="B42" i="18" a="1"/>
  <c r="B42" i="18" s="1"/>
  <c r="B41" i="18" a="1"/>
  <c r="B41" i="18" s="1"/>
  <c r="AW18" i="6"/>
  <c r="AX18" i="6"/>
  <c r="AX21" i="6" s="1"/>
  <c r="AY18" i="6"/>
  <c r="AZ18" i="6"/>
  <c r="BA18" i="6"/>
  <c r="BB18" i="6"/>
  <c r="BB21" i="6" s="1"/>
  <c r="BC18" i="6"/>
  <c r="BD18" i="6"/>
  <c r="BE18" i="6"/>
  <c r="BF18" i="6"/>
  <c r="BF21" i="6" s="1"/>
  <c r="BG18" i="6"/>
  <c r="BH18" i="6"/>
  <c r="BI18" i="6"/>
  <c r="BJ18" i="6"/>
  <c r="BJ21" i="6" s="1"/>
  <c r="BK18" i="6"/>
  <c r="BL18" i="6"/>
  <c r="BM18" i="6"/>
  <c r="BN18" i="6"/>
  <c r="BN21" i="6" s="1"/>
  <c r="BO18" i="6"/>
  <c r="BP18" i="6"/>
  <c r="BQ18" i="6"/>
  <c r="BR18" i="6"/>
  <c r="BR21" i="6" s="1"/>
  <c r="BS18" i="6"/>
  <c r="AW19" i="6"/>
  <c r="AX19" i="6"/>
  <c r="AY19" i="6"/>
  <c r="AY21" i="6" s="1"/>
  <c r="AZ22" i="6" s="1"/>
  <c r="AZ19" i="6"/>
  <c r="BA19" i="6"/>
  <c r="BB19" i="6"/>
  <c r="BC19" i="6"/>
  <c r="BC21" i="6" s="1"/>
  <c r="BH22" i="6" s="1"/>
  <c r="BD19" i="6"/>
  <c r="BE19" i="6"/>
  <c r="BF19" i="6"/>
  <c r="BG19" i="6"/>
  <c r="BG21" i="6" s="1"/>
  <c r="BP22" i="6" s="1"/>
  <c r="BH19" i="6"/>
  <c r="BI19" i="6"/>
  <c r="BJ19" i="6"/>
  <c r="BK19" i="6"/>
  <c r="BK21" i="6" s="1"/>
  <c r="BL19" i="6"/>
  <c r="BM19" i="6"/>
  <c r="BN19" i="6"/>
  <c r="BO19" i="6"/>
  <c r="BO21" i="6" s="1"/>
  <c r="BP19" i="6"/>
  <c r="BQ19" i="6"/>
  <c r="BR19" i="6"/>
  <c r="BS19" i="6"/>
  <c r="BS21" i="6" s="1"/>
  <c r="AW20" i="6"/>
  <c r="AW21" i="6" s="1"/>
  <c r="AX20" i="6"/>
  <c r="AY20" i="6"/>
  <c r="AZ20" i="6"/>
  <c r="BA20" i="6"/>
  <c r="BB20" i="6"/>
  <c r="BC20" i="6"/>
  <c r="BD20" i="6"/>
  <c r="BE20" i="6"/>
  <c r="BF20" i="6"/>
  <c r="BG20" i="6"/>
  <c r="BH20" i="6"/>
  <c r="BI20" i="6"/>
  <c r="BJ20" i="6"/>
  <c r="BK20" i="6"/>
  <c r="BL20" i="6"/>
  <c r="BM20" i="6"/>
  <c r="BN20" i="6"/>
  <c r="BO20" i="6"/>
  <c r="BP20" i="6"/>
  <c r="BQ20" i="6"/>
  <c r="BR20" i="6"/>
  <c r="BS20" i="6"/>
  <c r="AV19" i="6"/>
  <c r="AV20" i="6"/>
  <c r="AV18" i="6"/>
  <c r="D25" i="19" a="1"/>
  <c r="D25" i="19" s="1"/>
  <c r="E25" i="19" a="1"/>
  <c r="E25" i="19"/>
  <c r="F25" i="19" a="1"/>
  <c r="F25" i="19" s="1"/>
  <c r="G25" i="19" a="1"/>
  <c r="G25" i="19"/>
  <c r="H25" i="19" a="1"/>
  <c r="H25" i="19" s="1"/>
  <c r="I25" i="19" a="1"/>
  <c r="I25" i="19"/>
  <c r="J25" i="19" a="1"/>
  <c r="J25" i="19" s="1"/>
  <c r="K25" i="19" a="1"/>
  <c r="K25" i="19"/>
  <c r="L25" i="19" a="1"/>
  <c r="L25" i="19" s="1"/>
  <c r="M25" i="19" a="1"/>
  <c r="M25" i="19" s="1"/>
  <c r="N25" i="19" a="1"/>
  <c r="N25" i="19" s="1"/>
  <c r="C25" i="19" a="1"/>
  <c r="C25" i="19" s="1"/>
  <c r="D24" i="19" a="1"/>
  <c r="D24" i="19" s="1"/>
  <c r="E24" i="19" a="1"/>
  <c r="E24" i="19"/>
  <c r="F24" i="19" a="1"/>
  <c r="F24" i="19" s="1"/>
  <c r="G24" i="19" a="1"/>
  <c r="G24" i="19"/>
  <c r="H24" i="19" a="1"/>
  <c r="H24" i="19" s="1"/>
  <c r="I24" i="19" a="1"/>
  <c r="I24" i="19"/>
  <c r="J24" i="19" a="1"/>
  <c r="J24" i="19" s="1"/>
  <c r="K24" i="19" a="1"/>
  <c r="K24" i="19"/>
  <c r="L24" i="19" a="1"/>
  <c r="L24" i="19" s="1"/>
  <c r="M24" i="19" a="1"/>
  <c r="M24" i="19" s="1"/>
  <c r="N24" i="19" a="1"/>
  <c r="N24" i="19" s="1"/>
  <c r="C24" i="19" a="1"/>
  <c r="C24" i="19" s="1"/>
  <c r="D23" i="19" a="1"/>
  <c r="D23" i="19" s="1"/>
  <c r="E23" i="19" a="1"/>
  <c r="E23" i="19"/>
  <c r="F23" i="19" a="1"/>
  <c r="F23" i="19" s="1"/>
  <c r="G23" i="19" a="1"/>
  <c r="G23" i="19"/>
  <c r="H23" i="19" a="1"/>
  <c r="H23" i="19" s="1"/>
  <c r="I23" i="19" a="1"/>
  <c r="I23" i="19"/>
  <c r="J23" i="19" a="1"/>
  <c r="J23" i="19" s="1"/>
  <c r="K23" i="19" a="1"/>
  <c r="K23" i="19"/>
  <c r="L23" i="19" a="1"/>
  <c r="L23" i="19" s="1"/>
  <c r="M23" i="19" a="1"/>
  <c r="M23" i="19" s="1"/>
  <c r="N23" i="19" a="1"/>
  <c r="N23" i="19" s="1"/>
  <c r="C23" i="19" a="1"/>
  <c r="C23" i="19" s="1"/>
  <c r="B43" i="18"/>
  <c r="B39" i="18"/>
  <c r="B37" i="18" a="1"/>
  <c r="B37" i="18" s="1"/>
  <c r="B34" i="18"/>
  <c r="B30" i="18"/>
  <c r="B29" i="18"/>
  <c r="G14" i="18"/>
  <c r="G15" i="18"/>
  <c r="G16" i="18"/>
  <c r="G17" i="18"/>
  <c r="G18" i="18"/>
  <c r="G19" i="18"/>
  <c r="G20" i="18"/>
  <c r="G21" i="18"/>
  <c r="G22" i="18"/>
  <c r="G23" i="18"/>
  <c r="G24" i="18"/>
  <c r="G25" i="18"/>
  <c r="G13" i="18"/>
  <c r="B31" i="18"/>
  <c r="H6" i="19"/>
  <c r="H7" i="19"/>
  <c r="K6" i="19" s="1"/>
  <c r="H8" i="19"/>
  <c r="H9" i="19"/>
  <c r="H10" i="19"/>
  <c r="H11" i="19"/>
  <c r="H12" i="19"/>
  <c r="H13" i="19"/>
  <c r="H14" i="19"/>
  <c r="H15" i="19"/>
  <c r="H16" i="19"/>
  <c r="H17" i="19"/>
  <c r="H5" i="19"/>
  <c r="I57" i="6" l="1"/>
  <c r="H57" i="6"/>
  <c r="AV30" i="6"/>
  <c r="AV29" i="6"/>
  <c r="AV36" i="6"/>
  <c r="AV35" i="6"/>
  <c r="AV27" i="6"/>
  <c r="AX22" i="6"/>
  <c r="AY22" i="6"/>
  <c r="BQ21" i="6"/>
  <c r="BM21" i="6"/>
  <c r="BI21" i="6"/>
  <c r="BE21" i="6"/>
  <c r="BA21" i="6"/>
  <c r="AV34" i="6"/>
  <c r="AV21" i="6"/>
  <c r="AW22" i="6" s="1"/>
  <c r="BP21" i="6"/>
  <c r="BL21" i="6"/>
  <c r="BH21" i="6"/>
  <c r="BD21" i="6"/>
  <c r="AZ21" i="6"/>
  <c r="BQ22" i="6"/>
  <c r="BI22" i="6"/>
  <c r="BA22" i="6"/>
  <c r="K7" i="19"/>
  <c r="K10" i="19"/>
  <c r="K9" i="19"/>
  <c r="K5" i="19"/>
  <c r="K8" i="19"/>
  <c r="K11" i="19"/>
  <c r="B48" i="18"/>
  <c r="B47" i="18"/>
  <c r="B46" i="18"/>
  <c r="B38" i="18"/>
  <c r="B36" i="18"/>
  <c r="B35" i="18"/>
  <c r="B33" i="18"/>
  <c r="B32" i="18"/>
  <c r="BD22" i="6" l="1"/>
  <c r="BE22" i="6"/>
  <c r="BB22" i="6"/>
  <c r="BC22" i="6"/>
  <c r="BL22" i="6"/>
  <c r="BM22" i="6"/>
  <c r="BG22" i="6"/>
  <c r="BJ22" i="6"/>
  <c r="BK22" i="6"/>
  <c r="BO22" i="6"/>
  <c r="BF22" i="6"/>
  <c r="BR22" i="6"/>
  <c r="BS22" i="6"/>
  <c r="BN22" i="6"/>
  <c r="C27" i="21"/>
  <c r="C28" i="21"/>
  <c r="C29" i="21"/>
  <c r="C30" i="21"/>
  <c r="C31" i="21"/>
  <c r="C32" i="21"/>
  <c r="C33" i="21"/>
  <c r="C34" i="21"/>
  <c r="C35" i="21"/>
  <c r="C36" i="21"/>
  <c r="C37" i="21"/>
  <c r="C38" i="21"/>
  <c r="C39" i="21"/>
  <c r="C40" i="21"/>
  <c r="C41" i="21"/>
  <c r="C42" i="21"/>
  <c r="C43" i="21"/>
  <c r="C44" i="21"/>
  <c r="C45" i="21"/>
  <c r="C46" i="21"/>
  <c r="C47" i="21"/>
  <c r="C48" i="21"/>
  <c r="C49" i="21"/>
  <c r="C50" i="21"/>
  <c r="C51" i="21"/>
  <c r="C52" i="21"/>
  <c r="C53" i="21"/>
  <c r="C54" i="21"/>
  <c r="C55" i="21"/>
  <c r="C56" i="21"/>
  <c r="C57" i="21"/>
  <c r="C58" i="21"/>
  <c r="C59" i="21"/>
  <c r="C60" i="21"/>
  <c r="C61" i="21"/>
  <c r="C26" i="21" l="1"/>
  <c r="C25" i="21"/>
  <c r="C24" i="21"/>
  <c r="C7" i="21"/>
  <c r="C8" i="21"/>
  <c r="C9" i="21"/>
  <c r="C10" i="21"/>
  <c r="C11" i="21"/>
  <c r="C12" i="21"/>
  <c r="C13" i="21"/>
  <c r="C14" i="21"/>
  <c r="C15" i="21"/>
  <c r="C16" i="21"/>
  <c r="C17" i="21"/>
  <c r="C18" i="21"/>
  <c r="C19" i="21"/>
  <c r="C20" i="21"/>
  <c r="C21" i="21"/>
  <c r="C3" i="21"/>
  <c r="C4" i="21"/>
  <c r="C5" i="21"/>
  <c r="C6" i="21"/>
  <c r="C2" i="21"/>
  <c r="C49" i="18" l="1"/>
  <c r="C9" i="18"/>
  <c r="C44" i="1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xcel test support 4.11" type="6" refreshedVersion="5" background="1" saveData="1">
    <textPr codePage="437" sourceFile="C:\Users\Eeshani\Desktop\Excel test support 4.1.txt" space="1" consecutive="1">
      <textFields count="5">
        <textField/>
        <textField/>
        <textField/>
        <textField/>
        <textField/>
      </textFields>
    </textPr>
  </connection>
  <connection id="2" xr16:uid="{A1989CEB-C5BB-4C70-9C60-16D244E6281B}" keepAlive="1" name="Query - Customer Type" description="Connection to the 'Customer Type' query in the workbook." type="5" refreshedVersion="0" background="1">
    <dbPr connection="Provider=Microsoft.Mashup.OleDb.1;Data Source=$Workbook$;Location=&quot;Customer Type&quot;;Extended Properties=&quot;&quot;" command="SELECT * FROM [Customer Type]"/>
  </connection>
  <connection id="3" xr16:uid="{D1F07343-4C6D-4CCC-89CF-39E9C2A41912}" keepAlive="1" name="Query - DataSet" description="Connection to the 'DataSet' query in the workbook." type="5" refreshedVersion="0" background="1">
    <dbPr connection="Provider=Microsoft.Mashup.OleDb.1;Data Source=$Workbook$;Location=DataSet;Extended Properties=&quot;&quot;" command="SELECT * FROM [DataSet]"/>
  </connection>
  <connection id="4" xr16:uid="{2CE128B8-95ED-4138-A367-39429DDE971E}" keepAlive="1" name="Query - Products" description="Connection to the 'Products' query in the workbook." type="5" refreshedVersion="0" background="1">
    <dbPr connection="Provider=Microsoft.Mashup.OleDb.1;Data Source=$Workbook$;Location=Products;Extended Properties=&quot;&quot;" command="SELECT * FROM [Products]"/>
  </connection>
  <connection id="5" xr16:uid="{3521F42E-B28E-475F-886C-3446F5479EA8}" keepAlive="1" name="Query - Region" description="Connection to the 'Region' query in the workbook." type="5" refreshedVersion="0" background="1">
    <dbPr connection="Provider=Microsoft.Mashup.OleDb.1;Data Source=$Workbook$;Location=Region;Extended Properties=&quot;&quot;" command="SELECT * FROM [Region]"/>
  </connection>
  <connection id="6" xr16:uid="{57B79AB4-5EA1-4EA8-A752-F08F959466C2}" keepAlive="1" name="Query - Sales Person" description="Connection to the 'Sales Person' query in the workbook." type="5" refreshedVersion="0" background="1">
    <dbPr connection="Provider=Microsoft.Mashup.OleDb.1;Data Source=$Workbook$;Location=&quot;Sales Person&quot;;Extended Properties=&quot;&quot;" command="SELECT * FROM [Sales Perso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<sst xmlns="http://schemas.openxmlformats.org/spreadsheetml/2006/main" count="1086" uniqueCount="202">
  <si>
    <t>Sales Person</t>
  </si>
  <si>
    <t>Jonathan</t>
  </si>
  <si>
    <t>Jessy</t>
  </si>
  <si>
    <t>Annie</t>
  </si>
  <si>
    <t>Gender</t>
  </si>
  <si>
    <t>F</t>
  </si>
  <si>
    <t>Jack</t>
  </si>
  <si>
    <t>Hugo</t>
  </si>
  <si>
    <t>Tommy</t>
  </si>
  <si>
    <t>Lewis</t>
  </si>
  <si>
    <t>Willy</t>
  </si>
  <si>
    <t>Sarah</t>
  </si>
  <si>
    <t>Zara</t>
  </si>
  <si>
    <t>Cara</t>
  </si>
  <si>
    <t>Aaaron</t>
  </si>
  <si>
    <t>Stu</t>
  </si>
  <si>
    <t>M</t>
  </si>
  <si>
    <t>Count of Male Sales person</t>
  </si>
  <si>
    <t>Count of Female Sales Person</t>
  </si>
  <si>
    <t>Quotes</t>
  </si>
  <si>
    <t>Sold Month and Year</t>
  </si>
  <si>
    <t>Maximum sales made in September 2013</t>
  </si>
  <si>
    <t>Average Sales made in January 2013</t>
  </si>
  <si>
    <t xml:space="preserve">Name of the Sales person who made sales of 2800 </t>
  </si>
  <si>
    <t>Overall sales made by Sales person's names starting with "J"</t>
  </si>
  <si>
    <t>Questions</t>
  </si>
  <si>
    <t>Q No</t>
  </si>
  <si>
    <t>Q Sub No</t>
  </si>
  <si>
    <t>Points</t>
  </si>
  <si>
    <t>Table A</t>
  </si>
  <si>
    <t>No. of Sales made by Sales Person Stu in December 2013</t>
  </si>
  <si>
    <t>Answers</t>
  </si>
  <si>
    <t>Table B</t>
  </si>
  <si>
    <t>Rank the third highest sales person based on Policies sold</t>
  </si>
  <si>
    <t>Top 2 Female Sales Person's based on Sales made in 2013</t>
  </si>
  <si>
    <t xml:space="preserve">Top 5 Sales Person's in Year 2013 </t>
  </si>
  <si>
    <t>Intermediate</t>
  </si>
  <si>
    <t>Basic</t>
  </si>
  <si>
    <t>row Heading - Month</t>
  </si>
  <si>
    <t>Import the data available in the notepad in to the Excel and create a table.</t>
  </si>
  <si>
    <t>With the imported data create a Table with the following Conditional Formatting</t>
  </si>
  <si>
    <t>Age Less than 20, Cells to be filled with Dark Blue and White font</t>
  </si>
  <si>
    <t>Age More than 20, Cells to be filled with Black and White font</t>
  </si>
  <si>
    <t>Gender Female , Cells to be filled with Dark Grey and White font</t>
  </si>
  <si>
    <t>Gender male , Cells to be filled with Dark Green and White font</t>
  </si>
  <si>
    <t>Identify Duplicates in the names column and Fill the cells with Yellow</t>
  </si>
  <si>
    <t>Once the data is imported, create a New file and save as Customer data and encrypt with a password as "WNS@123"</t>
  </si>
  <si>
    <r>
      <t xml:space="preserve">Create a Pivot table using </t>
    </r>
    <r>
      <rPr>
        <b/>
        <sz val="10"/>
        <color rgb="FF00B0F0"/>
        <rFont val="Calibri"/>
        <family val="2"/>
        <scheme val="minor"/>
      </rPr>
      <t>Table A</t>
    </r>
    <r>
      <rPr>
        <b/>
        <sz val="10"/>
        <color theme="1"/>
        <rFont val="Calibri"/>
        <family val="2"/>
        <scheme val="minor"/>
      </rPr>
      <t xml:space="preserve"> ,showing the below in rows and columns</t>
    </r>
  </si>
  <si>
    <t>No. of days between 31st March 2013 and 1st Jan 2014</t>
  </si>
  <si>
    <t>No. of Year between 15th August 1947 to till date</t>
  </si>
  <si>
    <t>No. of Months between 14th April 2011 to till date</t>
  </si>
  <si>
    <t>Region</t>
  </si>
  <si>
    <t>Product</t>
  </si>
  <si>
    <t>Customer Type</t>
  </si>
  <si>
    <t>Sales Person - Name</t>
  </si>
  <si>
    <t>East</t>
  </si>
  <si>
    <t>Light Sabres</t>
  </si>
  <si>
    <t>Enterprise</t>
  </si>
  <si>
    <t>James Kirk</t>
  </si>
  <si>
    <t>Luke Skywalker</t>
  </si>
  <si>
    <t>Hansolo</t>
  </si>
  <si>
    <t>Chewbacca</t>
  </si>
  <si>
    <t>Galaxy</t>
  </si>
  <si>
    <t>Planet</t>
  </si>
  <si>
    <t>Transponders</t>
  </si>
  <si>
    <t>Glue Guns</t>
  </si>
  <si>
    <t>West</t>
  </si>
  <si>
    <t>North</t>
  </si>
  <si>
    <t>South</t>
  </si>
  <si>
    <t>Table C</t>
  </si>
  <si>
    <t>Expert</t>
  </si>
  <si>
    <t>Level</t>
  </si>
  <si>
    <t>Minimum Passing score</t>
  </si>
  <si>
    <t>Score Allocated</t>
  </si>
  <si>
    <t>Create a 3 List boxes/Drop down listusing Region,Product  and Customer type</t>
  </si>
  <si>
    <t>Format given below as a picture</t>
  </si>
  <si>
    <t>MS EXCEL BASIC PRACTICAL ASSESMENT - LEVEL 1</t>
  </si>
  <si>
    <t>MS EXCEL INTERMEDIATE PRACTICAL ASSESMENT - LEVEL 2</t>
  </si>
  <si>
    <t>MS EXCEL EXPERT PRACTICAL ASSESMENT - LEVEL 3</t>
  </si>
  <si>
    <t>Sales ( in Volume)</t>
  </si>
  <si>
    <t>Price per Policy(Overall Level)</t>
  </si>
  <si>
    <t>Overall Sales made in January 2013</t>
  </si>
  <si>
    <t>No. and Name of Sales Person with "0" Policy sales in the year 2013</t>
  </si>
  <si>
    <t>Weightage</t>
  </si>
  <si>
    <t xml:space="preserve">Which formula gives </t>
  </si>
  <si>
    <t>b) Returns the number of Character in text string</t>
  </si>
  <si>
    <t xml:space="preserve">d) Checks whether all arguments are Ture, and returns Ture if all arguments are Ture. </t>
  </si>
  <si>
    <t>a) The number of cells in a range that are non-empty.</t>
  </si>
  <si>
    <t>c) Returns the number of workdays between two dates.</t>
  </si>
  <si>
    <t xml:space="preserve">e) Converts a vertical range of cells to a horizontal range or vice Versa. </t>
  </si>
  <si>
    <t>Total Weightage</t>
  </si>
  <si>
    <t>*Answers without Formula will be considered as Void</t>
  </si>
  <si>
    <t>Answers (Use only Formula's to Derive the results)*</t>
  </si>
  <si>
    <t>Sales ( in Value)</t>
  </si>
  <si>
    <t>Populate the Chart only on the box below, otherwise the Graph will be considered void.</t>
  </si>
  <si>
    <t>Populate the data only on the box below, otherwise it will be considered void.</t>
  </si>
  <si>
    <r>
      <t>Using</t>
    </r>
    <r>
      <rPr>
        <sz val="10"/>
        <rFont val="Calibri"/>
        <family val="2"/>
        <scheme val="minor"/>
      </rPr>
      <t xml:space="preserve"> Table A</t>
    </r>
    <r>
      <rPr>
        <b/>
        <sz val="10"/>
        <rFont val="Calibri"/>
        <family val="2"/>
        <scheme val="minor"/>
      </rPr>
      <t xml:space="preserve">, Derive the Table B </t>
    </r>
  </si>
  <si>
    <t>Count A</t>
  </si>
  <si>
    <t>Len</t>
  </si>
  <si>
    <t>Networkdays</t>
  </si>
  <si>
    <t>AND</t>
  </si>
  <si>
    <t>Transpose</t>
  </si>
  <si>
    <t>Candidate Answers</t>
  </si>
  <si>
    <r>
      <t xml:space="preserve">Create a Dashboard(format as shown in the picture) using the </t>
    </r>
    <r>
      <rPr>
        <b/>
        <sz val="10"/>
        <color rgb="FF00B0F0"/>
        <rFont val="Cambria"/>
        <family val="1"/>
        <scheme val="major"/>
      </rPr>
      <t xml:space="preserve">Table C </t>
    </r>
  </si>
  <si>
    <t xml:space="preserve"> Populate the Chart only on the box below, otherwise the Graph will be considered void.</t>
  </si>
  <si>
    <t>Create a table that present the data of Sales persons and Their corresspondig sales made in throught the year.Note that Sales person and Figures should change with the change of Region,Product and Customer Type.</t>
  </si>
  <si>
    <t>*Answers without Formula will be considered as Void. Also ensure that any error needs to be shown as "-".</t>
  </si>
  <si>
    <t xml:space="preserve">Sales % (for Value) for the policies sold by Men </t>
  </si>
  <si>
    <r>
      <t>Using</t>
    </r>
    <r>
      <rPr>
        <b/>
        <sz val="10"/>
        <color rgb="FF00B0F0"/>
        <rFont val="Calibri"/>
        <family val="2"/>
        <scheme val="minor"/>
      </rPr>
      <t xml:space="preserve"> Table B</t>
    </r>
    <r>
      <rPr>
        <b/>
        <sz val="10"/>
        <color theme="1"/>
        <rFont val="Calibri"/>
        <family val="2"/>
        <scheme val="minor"/>
      </rPr>
      <t>,Create  a Chart that shows the total Sales(value) earned month wise.
 Populate the Chart only on the box below, otherwise the Graph will be considered void.</t>
    </r>
  </si>
  <si>
    <t xml:space="preserve">Column Heading -  Sales person's count, Sales in value and calculated field of commission if 10% of Gross premium is paid per agent
</t>
  </si>
  <si>
    <t>Max Sales Month Wise</t>
  </si>
  <si>
    <t>-</t>
  </si>
  <si>
    <t>Overall Sales made in May 2013</t>
  </si>
  <si>
    <t>Jackie, Jonathan and Stu</t>
  </si>
  <si>
    <t>Cara,Jessy,Lewis,Tommy,Annie</t>
  </si>
  <si>
    <t>Cara, Jessy</t>
  </si>
  <si>
    <t>Derive the sentence along with the values "Top Overall sales made in 2013 " " by " " sales persons, out of which " " are female and " " male .</t>
  </si>
  <si>
    <t>Row Labels</t>
  </si>
  <si>
    <t>Grand Total</t>
  </si>
  <si>
    <t>Name</t>
  </si>
  <si>
    <t>Age</t>
  </si>
  <si>
    <t>Location</t>
  </si>
  <si>
    <t>Hobby</t>
  </si>
  <si>
    <t>Ana</t>
  </si>
  <si>
    <t>Newyork</t>
  </si>
  <si>
    <t>Cricket</t>
  </si>
  <si>
    <t>Alex</t>
  </si>
  <si>
    <t>Idaho</t>
  </si>
  <si>
    <t>Reading</t>
  </si>
  <si>
    <t>zoey</t>
  </si>
  <si>
    <t>Kensas</t>
  </si>
  <si>
    <t>Music</t>
  </si>
  <si>
    <t>tamara</t>
  </si>
  <si>
    <t>California</t>
  </si>
  <si>
    <t>Fitness_Gym</t>
  </si>
  <si>
    <t>sally</t>
  </si>
  <si>
    <t>Boise</t>
  </si>
  <si>
    <t>Dancing</t>
  </si>
  <si>
    <t>Zack</t>
  </si>
  <si>
    <t>Charlote</t>
  </si>
  <si>
    <t>Kiara</t>
  </si>
  <si>
    <t>Ice_Skating</t>
  </si>
  <si>
    <t>Mike</t>
  </si>
  <si>
    <t>Football</t>
  </si>
  <si>
    <t>Jay</t>
  </si>
  <si>
    <t>Seatle</t>
  </si>
  <si>
    <t>Ben</t>
  </si>
  <si>
    <t>Hiking</t>
  </si>
  <si>
    <t>Philadelphia</t>
  </si>
  <si>
    <t>Texas</t>
  </si>
  <si>
    <t>month</t>
  </si>
  <si>
    <t>1</t>
  </si>
  <si>
    <t>3</t>
  </si>
  <si>
    <t>4</t>
  </si>
  <si>
    <t>5</t>
  </si>
  <si>
    <t>7</t>
  </si>
  <si>
    <t>8</t>
  </si>
  <si>
    <t>9</t>
  </si>
  <si>
    <t>And</t>
  </si>
  <si>
    <t>Workday</t>
  </si>
  <si>
    <t>CountA</t>
  </si>
  <si>
    <t>Month</t>
  </si>
  <si>
    <t>Sales person's count</t>
  </si>
  <si>
    <t>Sales in Value</t>
  </si>
  <si>
    <t xml:space="preserve">Gross Premium </t>
  </si>
  <si>
    <t>Jan-08</t>
  </si>
  <si>
    <t>Feb-08</t>
  </si>
  <si>
    <t>Mar-08</t>
  </si>
  <si>
    <t>Apr-08</t>
  </si>
  <si>
    <t>May-08</t>
  </si>
  <si>
    <t>Jun-08</t>
  </si>
  <si>
    <t>Jul-08</t>
  </si>
  <si>
    <t>Aug-08</t>
  </si>
  <si>
    <t>Sep-08</t>
  </si>
  <si>
    <t>Oct-08</t>
  </si>
  <si>
    <t>Nov-08</t>
  </si>
  <si>
    <t>Dec-08</t>
  </si>
  <si>
    <t>Jan-09</t>
  </si>
  <si>
    <t>Feb-09</t>
  </si>
  <si>
    <t>Mar-09</t>
  </si>
  <si>
    <t>Apr-09</t>
  </si>
  <si>
    <t>May-09</t>
  </si>
  <si>
    <t>Jun-09</t>
  </si>
  <si>
    <t>Jul-09</t>
  </si>
  <si>
    <t>Aug-09</t>
  </si>
  <si>
    <t>Sep-09</t>
  </si>
  <si>
    <t>Oct-09</t>
  </si>
  <si>
    <t>Nov-09</t>
  </si>
  <si>
    <t>Dec-09</t>
  </si>
  <si>
    <t>Products</t>
  </si>
  <si>
    <t>Total</t>
  </si>
  <si>
    <t>Total Growth</t>
  </si>
  <si>
    <t xml:space="preserve"> </t>
  </si>
  <si>
    <t>Sales</t>
  </si>
  <si>
    <t>Customer</t>
  </si>
  <si>
    <t>Sales 2008</t>
  </si>
  <si>
    <t>Sales 2009</t>
  </si>
  <si>
    <t>YTD Growth</t>
  </si>
  <si>
    <t>Others</t>
  </si>
  <si>
    <t>Sarah, Willy, Annie, Tommy, Cara</t>
  </si>
  <si>
    <t>Sarah, Annie</t>
  </si>
  <si>
    <t>Top Overall Sales made in 2013 is 4000 by 13 sales person, out of which 5 are female and 8 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</si>
</sst>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_-* #,##0\ _k_r_-;\-* #,##0\ _k_r_-;_-* &quot;-&quot;??\ _k_r_-;_-@_-"/>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0"/>
      <color rgb="FF00B0F0"/>
      <name val="Calibri"/>
      <family val="2"/>
      <scheme val="minor"/>
    </font>
    <font>
      <b/>
      <sz val="11"/>
      <color rgb="FF0070C0"/>
      <name val="Calibri"/>
      <family val="2"/>
      <scheme val="minor"/>
    </font>
    <font>
      <b/>
      <sz val="10"/>
      <color theme="0"/>
      <name val="Calibri"/>
      <family val="2"/>
      <scheme val="minor"/>
    </font>
    <font>
      <b/>
      <sz val="11"/>
      <color theme="0"/>
      <name val="Calibri"/>
      <family val="2"/>
      <scheme val="minor"/>
    </font>
    <font>
      <b/>
      <sz val="10"/>
      <color theme="1"/>
      <name val="Cambria"/>
      <family val="1"/>
      <scheme val="major"/>
    </font>
    <font>
      <sz val="10"/>
      <color theme="1"/>
      <name val="Cambria"/>
      <family val="1"/>
      <scheme val="major"/>
    </font>
    <font>
      <sz val="10"/>
      <name val="Cambria"/>
      <family val="1"/>
      <scheme val="major"/>
    </font>
    <font>
      <b/>
      <sz val="10"/>
      <color rgb="FF0070C0"/>
      <name val="Cambria"/>
      <family val="1"/>
      <scheme val="major"/>
    </font>
    <font>
      <b/>
      <sz val="10"/>
      <name val="Calibri"/>
      <family val="2"/>
      <scheme val="minor"/>
    </font>
    <font>
      <sz val="10"/>
      <name val="Calibri"/>
      <family val="2"/>
      <scheme val="minor"/>
    </font>
    <font>
      <b/>
      <sz val="10"/>
      <name val="Cambria"/>
      <family val="1"/>
      <scheme val="major"/>
    </font>
    <font>
      <b/>
      <sz val="16"/>
      <color theme="1"/>
      <name val="Cambria"/>
      <family val="1"/>
      <scheme val="major"/>
    </font>
    <font>
      <b/>
      <sz val="10"/>
      <color theme="0"/>
      <name val="Cambria"/>
      <family val="1"/>
      <scheme val="major"/>
    </font>
    <font>
      <b/>
      <sz val="10"/>
      <color rgb="FF00B0F0"/>
      <name val="Cambria"/>
      <family val="1"/>
      <scheme val="major"/>
    </font>
    <font>
      <b/>
      <sz val="10"/>
      <color theme="0" tint="-0.34998626667073579"/>
      <name val="Cambria"/>
      <family val="1"/>
      <scheme val="major"/>
    </font>
    <font>
      <sz val="10"/>
      <color theme="0" tint="-0.499984740745262"/>
      <name val="Cambria"/>
      <family val="1"/>
      <scheme val="major"/>
    </font>
    <font>
      <sz val="11"/>
      <color rgb="FF000000"/>
      <name val="Calibri"/>
      <family val="2"/>
    </font>
    <font>
      <b/>
      <sz val="9"/>
      <color theme="0"/>
      <name val="Cambria"/>
      <family val="1"/>
      <scheme val="major"/>
    </font>
    <font>
      <sz val="9"/>
      <color theme="0"/>
      <name val="Cambria"/>
      <family val="1"/>
      <scheme val="major"/>
    </font>
    <font>
      <sz val="8"/>
      <name val="Calibri"/>
      <family val="2"/>
      <scheme val="minor"/>
    </font>
  </fonts>
  <fills count="12">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C00000"/>
        <bgColor indexed="64"/>
      </patternFill>
    </fill>
    <fill>
      <patternFill patternType="solid">
        <fgColor theme="0"/>
        <bgColor indexed="64"/>
      </patternFill>
    </fill>
    <fill>
      <patternFill patternType="solid">
        <fgColor theme="7" tint="-0.249977111117893"/>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8"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20">
    <xf numFmtId="0" fontId="0" fillId="0" borderId="0" xfId="0"/>
    <xf numFmtId="0" fontId="3" fillId="0" borderId="0" xfId="0" applyFont="1"/>
    <xf numFmtId="0" fontId="4" fillId="0" borderId="0" xfId="0" applyFont="1"/>
    <xf numFmtId="0" fontId="4" fillId="0" borderId="0" xfId="0" applyFont="1" applyAlignment="1">
      <alignment horizontal="left" indent="4"/>
    </xf>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Border="1"/>
    <xf numFmtId="0" fontId="0" fillId="0" borderId="15" xfId="0" applyBorder="1"/>
    <xf numFmtId="0" fontId="8" fillId="6" borderId="0" xfId="0" applyFont="1" applyFill="1" applyBorder="1"/>
    <xf numFmtId="0" fontId="0" fillId="0" borderId="16" xfId="0" applyBorder="1"/>
    <xf numFmtId="0" fontId="0" fillId="0" borderId="17" xfId="0" applyBorder="1"/>
    <xf numFmtId="0" fontId="0" fillId="0" borderId="18" xfId="0" applyBorder="1"/>
    <xf numFmtId="0" fontId="6" fillId="7" borderId="0" xfId="0" applyFont="1" applyFill="1" applyBorder="1"/>
    <xf numFmtId="0" fontId="2" fillId="7" borderId="0" xfId="0" applyFont="1" applyFill="1" applyBorder="1" applyAlignment="1">
      <alignment horizontal="center" vertical="center"/>
    </xf>
    <xf numFmtId="0" fontId="2" fillId="7" borderId="0" xfId="0" applyFont="1" applyFill="1" applyBorder="1" applyAlignment="1">
      <alignment horizontal="center"/>
    </xf>
    <xf numFmtId="0" fontId="10" fillId="0" borderId="0" xfId="0" applyFont="1" applyAlignment="1">
      <alignment horizontal="left"/>
    </xf>
    <xf numFmtId="0" fontId="10" fillId="0" borderId="0" xfId="0" applyFont="1"/>
    <xf numFmtId="0" fontId="10" fillId="0" borderId="0" xfId="0" applyFont="1" applyAlignment="1">
      <alignment vertical="center"/>
    </xf>
    <xf numFmtId="17" fontId="10" fillId="5" borderId="1" xfId="0" applyNumberFormat="1" applyFont="1" applyFill="1" applyBorder="1" applyAlignment="1">
      <alignment horizontal="left"/>
    </xf>
    <xf numFmtId="1" fontId="10" fillId="5" borderId="1" xfId="0" applyNumberFormat="1" applyFont="1" applyFill="1" applyBorder="1" applyAlignment="1">
      <alignment horizontal="right"/>
    </xf>
    <xf numFmtId="17" fontId="9" fillId="9" borderId="1" xfId="0" applyNumberFormat="1" applyFont="1" applyFill="1" applyBorder="1" applyAlignment="1">
      <alignment horizontal="left" vertical="center" wrapText="1"/>
    </xf>
    <xf numFmtId="1" fontId="9" fillId="9" borderId="1" xfId="0" applyNumberFormat="1" applyFont="1" applyFill="1" applyBorder="1" applyAlignment="1">
      <alignment horizontal="left" vertical="center" wrapText="1"/>
    </xf>
    <xf numFmtId="164" fontId="9" fillId="9" borderId="1" xfId="1" applyNumberFormat="1" applyFont="1" applyFill="1" applyBorder="1" applyAlignment="1">
      <alignment horizontal="left" vertical="center" wrapText="1"/>
    </xf>
    <xf numFmtId="0" fontId="10" fillId="0" borderId="1" xfId="0" applyFont="1" applyBorder="1"/>
    <xf numFmtId="0" fontId="9" fillId="9" borderId="1" xfId="0" applyFont="1" applyFill="1" applyBorder="1" applyAlignment="1"/>
    <xf numFmtId="0" fontId="10" fillId="9" borderId="1" xfId="0" applyFont="1" applyFill="1" applyBorder="1"/>
    <xf numFmtId="0" fontId="9" fillId="9" borderId="1" xfId="0" applyFont="1" applyFill="1" applyBorder="1" applyAlignment="1">
      <alignment vertical="center"/>
    </xf>
    <xf numFmtId="17" fontId="10" fillId="5" borderId="1" xfId="0" applyNumberFormat="1" applyFont="1" applyFill="1" applyBorder="1" applyAlignment="1">
      <alignment horizontal="center" vertical="center"/>
    </xf>
    <xf numFmtId="0" fontId="9" fillId="9" borderId="1" xfId="0" applyFont="1" applyFill="1" applyBorder="1" applyAlignment="1">
      <alignment vertical="center" wrapText="1"/>
    </xf>
    <xf numFmtId="0" fontId="10" fillId="0" borderId="1" xfId="0" applyFont="1" applyBorder="1" applyAlignment="1">
      <alignment vertical="center"/>
    </xf>
    <xf numFmtId="0" fontId="11" fillId="0" borderId="1" xfId="0" applyFont="1" applyBorder="1" applyAlignment="1">
      <alignment wrapText="1"/>
    </xf>
    <xf numFmtId="0" fontId="9" fillId="9" borderId="1" xfId="0" applyFont="1" applyFill="1" applyBorder="1" applyAlignment="1">
      <alignment horizontal="center" vertical="center"/>
    </xf>
    <xf numFmtId="0" fontId="9" fillId="9" borderId="1" xfId="0" applyFont="1" applyFill="1" applyBorder="1" applyAlignment="1">
      <alignment horizontal="center"/>
    </xf>
    <xf numFmtId="0" fontId="10" fillId="0" borderId="0" xfId="0" applyFont="1" applyFill="1"/>
    <xf numFmtId="0" fontId="4" fillId="0" borderId="0" xfId="0" applyFont="1" applyAlignment="1"/>
    <xf numFmtId="0" fontId="12" fillId="0" borderId="2" xfId="0" applyFont="1" applyFill="1" applyBorder="1" applyAlignment="1">
      <alignment horizontal="left" vertical="center"/>
    </xf>
    <xf numFmtId="1" fontId="9" fillId="0" borderId="1" xfId="0" applyNumberFormat="1" applyFont="1" applyFill="1" applyBorder="1" applyAlignment="1">
      <alignment horizontal="left" vertical="center" wrapText="1"/>
    </xf>
    <xf numFmtId="0" fontId="4" fillId="0" borderId="0" xfId="0" applyFont="1" applyFill="1" applyAlignment="1"/>
    <xf numFmtId="0" fontId="10" fillId="0" borderId="3" xfId="0" applyFont="1" applyFill="1" applyBorder="1"/>
    <xf numFmtId="0" fontId="10" fillId="0" borderId="4" xfId="0" applyFont="1" applyFill="1" applyBorder="1"/>
    <xf numFmtId="0" fontId="10" fillId="0" borderId="5" xfId="0" applyFont="1" applyFill="1" applyBorder="1"/>
    <xf numFmtId="0" fontId="10" fillId="0" borderId="6" xfId="0" applyFont="1" applyFill="1" applyBorder="1"/>
    <xf numFmtId="0" fontId="10" fillId="0" borderId="0" xfId="0" applyFont="1" applyFill="1" applyBorder="1"/>
    <xf numFmtId="0" fontId="10" fillId="0" borderId="7" xfId="0" applyFont="1" applyFill="1" applyBorder="1"/>
    <xf numFmtId="0" fontId="10" fillId="0" borderId="8" xfId="0" applyFont="1" applyFill="1" applyBorder="1"/>
    <xf numFmtId="0" fontId="10" fillId="0" borderId="9" xfId="0" applyFont="1" applyFill="1" applyBorder="1"/>
    <xf numFmtId="0" fontId="10" fillId="0" borderId="10" xfId="0" applyFont="1" applyFill="1" applyBorder="1"/>
    <xf numFmtId="0" fontId="9" fillId="0" borderId="0" xfId="0" applyFont="1" applyFill="1"/>
    <xf numFmtId="0" fontId="13" fillId="0" borderId="0" xfId="0" applyFont="1" applyFill="1"/>
    <xf numFmtId="0" fontId="3" fillId="0" borderId="1" xfId="0" applyFont="1" applyBorder="1" applyAlignment="1">
      <alignment horizontal="left" wrapText="1"/>
    </xf>
    <xf numFmtId="0" fontId="10" fillId="0" borderId="1" xfId="0" applyFont="1" applyBorder="1" applyAlignment="1">
      <alignment vertical="center" wrapText="1"/>
    </xf>
    <xf numFmtId="0" fontId="15" fillId="3" borderId="19" xfId="0" applyFont="1" applyFill="1" applyBorder="1"/>
    <xf numFmtId="0" fontId="9" fillId="3" borderId="20" xfId="0" applyFont="1" applyFill="1" applyBorder="1"/>
    <xf numFmtId="0" fontId="9" fillId="3" borderId="19" xfId="0" applyFont="1" applyFill="1" applyBorder="1"/>
    <xf numFmtId="0" fontId="16" fillId="10" borderId="1" xfId="0" applyFont="1" applyFill="1" applyBorder="1" applyAlignment="1">
      <alignment horizontal="left"/>
    </xf>
    <xf numFmtId="0" fontId="17" fillId="4" borderId="1" xfId="0" applyFont="1" applyFill="1" applyBorder="1" applyAlignment="1">
      <alignment horizontal="center"/>
    </xf>
    <xf numFmtId="0" fontId="17" fillId="0" borderId="0" xfId="0" applyFont="1" applyFill="1" applyBorder="1" applyAlignment="1">
      <alignment horizontal="center"/>
    </xf>
    <xf numFmtId="0" fontId="12" fillId="0" borderId="0" xfId="0" applyFont="1" applyAlignment="1">
      <alignment horizontal="center"/>
    </xf>
    <xf numFmtId="0" fontId="12" fillId="0" borderId="0" xfId="0" applyFont="1"/>
    <xf numFmtId="0" fontId="18" fillId="0" borderId="0" xfId="0" applyFont="1" applyAlignment="1">
      <alignment horizontal="center"/>
    </xf>
    <xf numFmtId="0" fontId="9" fillId="0" borderId="0" xfId="0" applyFont="1" applyFill="1" applyAlignment="1">
      <alignment horizontal="center"/>
    </xf>
    <xf numFmtId="0" fontId="19" fillId="0" borderId="0" xfId="0" applyFont="1" applyFill="1" applyAlignment="1">
      <alignment horizontal="center"/>
    </xf>
    <xf numFmtId="0" fontId="9" fillId="0" borderId="0" xfId="0" applyFont="1"/>
    <xf numFmtId="0" fontId="15" fillId="3" borderId="1" xfId="0" applyFont="1" applyFill="1" applyBorder="1"/>
    <xf numFmtId="0" fontId="10" fillId="2" borderId="1" xfId="0" applyFont="1" applyFill="1" applyBorder="1"/>
    <xf numFmtId="17" fontId="10" fillId="2" borderId="1" xfId="0" applyNumberFormat="1" applyFont="1" applyFill="1" applyBorder="1"/>
    <xf numFmtId="3" fontId="10" fillId="0" borderId="1" xfId="0" applyNumberFormat="1" applyFont="1" applyBorder="1"/>
    <xf numFmtId="0" fontId="20" fillId="0" borderId="0" xfId="0" applyFont="1" applyAlignment="1">
      <alignment horizontal="center"/>
    </xf>
    <xf numFmtId="0" fontId="10" fillId="2" borderId="1" xfId="0" applyFont="1" applyFill="1" applyBorder="1" applyAlignment="1">
      <alignment horizontal="center"/>
    </xf>
    <xf numFmtId="17" fontId="10" fillId="2" borderId="1" xfId="0" applyNumberFormat="1" applyFont="1" applyFill="1" applyBorder="1" applyAlignment="1">
      <alignment horizontal="center"/>
    </xf>
    <xf numFmtId="0" fontId="10" fillId="0" borderId="1" xfId="0" applyFont="1" applyBorder="1" applyAlignment="1">
      <alignment horizontal="center"/>
    </xf>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applyBorder="1"/>
    <xf numFmtId="0" fontId="10" fillId="0" borderId="7" xfId="0" applyFont="1" applyBorder="1"/>
    <xf numFmtId="0" fontId="10" fillId="0" borderId="8" xfId="0" applyFont="1" applyBorder="1"/>
    <xf numFmtId="0" fontId="10" fillId="0" borderId="9" xfId="0" applyFont="1" applyBorder="1"/>
    <xf numFmtId="0" fontId="10" fillId="0" borderId="10" xfId="0" applyFont="1" applyBorder="1"/>
    <xf numFmtId="0" fontId="10" fillId="0" borderId="0" xfId="0" applyFont="1" applyAlignment="1">
      <alignment vertical="center" wrapText="1"/>
    </xf>
    <xf numFmtId="0" fontId="9" fillId="10" borderId="1" xfId="0" applyFont="1" applyFill="1" applyBorder="1" applyAlignment="1">
      <alignment horizontal="center"/>
    </xf>
    <xf numFmtId="1" fontId="10" fillId="0" borderId="0" xfId="0" applyNumberFormat="1" applyFont="1"/>
    <xf numFmtId="14" fontId="10" fillId="0" borderId="0" xfId="0" applyNumberFormat="1" applyFont="1"/>
    <xf numFmtId="1" fontId="10" fillId="0" borderId="1" xfId="0" applyNumberFormat="1" applyFont="1" applyBorder="1" applyAlignment="1">
      <alignment horizontal="center" vertical="center"/>
    </xf>
    <xf numFmtId="0" fontId="22" fillId="5" borderId="0" xfId="0" applyFont="1" applyFill="1"/>
    <xf numFmtId="0" fontId="23" fillId="5" borderId="0" xfId="0" applyFont="1" applyFill="1"/>
    <xf numFmtId="0" fontId="23" fillId="5" borderId="0" xfId="0" applyFont="1" applyFill="1" applyAlignment="1">
      <alignment wrapText="1"/>
    </xf>
    <xf numFmtId="9" fontId="23" fillId="5" borderId="0" xfId="2" applyFont="1" applyFill="1"/>
    <xf numFmtId="9" fontId="23" fillId="5" borderId="0" xfId="0" applyNumberFormat="1" applyFont="1" applyFill="1"/>
    <xf numFmtId="1" fontId="10" fillId="0" borderId="1" xfId="0" applyNumberFormat="1" applyFont="1" applyBorder="1" applyAlignment="1">
      <alignment vertical="center"/>
    </xf>
    <xf numFmtId="0" fontId="0" fillId="0" borderId="0" xfId="0" pivotButton="1"/>
    <xf numFmtId="0" fontId="0" fillId="0" borderId="0" xfId="0" applyAlignment="1">
      <alignment horizontal="left"/>
    </xf>
    <xf numFmtId="0" fontId="0" fillId="0" borderId="0" xfId="0" applyNumberFormat="1"/>
    <xf numFmtId="0" fontId="0" fillId="0" borderId="0" xfId="0" applyFont="1" applyFill="1" applyBorder="1"/>
    <xf numFmtId="0" fontId="10" fillId="0" borderId="0" xfId="0" applyFont="1" applyAlignment="1">
      <alignment horizontal="center" vertical="center"/>
    </xf>
    <xf numFmtId="164" fontId="9" fillId="9" borderId="1" xfId="1" applyNumberFormat="1" applyFont="1" applyFill="1" applyBorder="1" applyAlignment="1">
      <alignment horizontal="center" vertical="center" wrapText="1"/>
    </xf>
    <xf numFmtId="1" fontId="10" fillId="0" borderId="1" xfId="0" applyNumberFormat="1" applyFont="1" applyBorder="1" applyAlignment="1">
      <alignment horizontal="center"/>
    </xf>
    <xf numFmtId="164" fontId="9" fillId="0" borderId="21" xfId="1" applyNumberFormat="1" applyFont="1" applyFill="1" applyBorder="1" applyAlignment="1">
      <alignment horizontal="left" vertical="center" wrapText="1"/>
    </xf>
    <xf numFmtId="1" fontId="0" fillId="0" borderId="0" xfId="0" applyNumberFormat="1"/>
    <xf numFmtId="10" fontId="10" fillId="0" borderId="1" xfId="2" applyNumberFormat="1" applyFont="1" applyBorder="1" applyAlignment="1">
      <alignment horizontal="center" vertical="center"/>
    </xf>
    <xf numFmtId="17" fontId="10" fillId="0" borderId="0" xfId="0" applyNumberFormat="1" applyFont="1"/>
    <xf numFmtId="17" fontId="0" fillId="0" borderId="0" xfId="0" applyNumberFormat="1"/>
    <xf numFmtId="0" fontId="10" fillId="0" borderId="1" xfId="0" applyNumberFormat="1" applyFont="1" applyBorder="1" applyAlignment="1">
      <alignment horizontal="center"/>
    </xf>
    <xf numFmtId="10" fontId="0" fillId="0" borderId="0" xfId="2" applyNumberFormat="1" applyFont="1"/>
    <xf numFmtId="0" fontId="10" fillId="0" borderId="0" xfId="0" applyFont="1" applyAlignment="1">
      <alignment horizontal="center"/>
    </xf>
    <xf numFmtId="10" fontId="10" fillId="0" borderId="0" xfId="2" applyNumberFormat="1" applyFont="1"/>
    <xf numFmtId="0" fontId="9" fillId="11" borderId="1" xfId="0" applyFont="1" applyFill="1" applyBorder="1"/>
    <xf numFmtId="17" fontId="9" fillId="11" borderId="1" xfId="0" applyNumberFormat="1" applyFont="1" applyFill="1" applyBorder="1"/>
    <xf numFmtId="0" fontId="10" fillId="2" borderId="21" xfId="0" applyFont="1" applyFill="1" applyBorder="1"/>
    <xf numFmtId="0" fontId="10" fillId="0" borderId="21" xfId="0" applyFont="1" applyBorder="1"/>
    <xf numFmtId="0" fontId="10" fillId="0" borderId="22" xfId="0" applyFont="1" applyBorder="1"/>
    <xf numFmtId="3" fontId="10" fillId="0" borderId="22" xfId="0" applyNumberFormat="1" applyFont="1" applyBorder="1"/>
    <xf numFmtId="0" fontId="7" fillId="8" borderId="1" xfId="0" applyFont="1" applyFill="1" applyBorder="1" applyAlignment="1">
      <alignment horizontal="center"/>
    </xf>
    <xf numFmtId="0" fontId="9" fillId="0" borderId="6" xfId="0" applyFont="1" applyBorder="1" applyAlignment="1">
      <alignment horizontal="center" vertical="center"/>
    </xf>
    <xf numFmtId="0" fontId="9" fillId="0" borderId="0" xfId="0" applyFont="1" applyAlignment="1">
      <alignment horizontal="center" vertical="center"/>
    </xf>
    <xf numFmtId="0" fontId="17" fillId="8" borderId="6" xfId="0" applyFont="1" applyFill="1" applyBorder="1" applyAlignment="1">
      <alignment horizontal="center"/>
    </xf>
    <xf numFmtId="0" fontId="17" fillId="8" borderId="0" xfId="0" applyFont="1" applyFill="1" applyBorder="1" applyAlignment="1">
      <alignment horizontal="center"/>
    </xf>
  </cellXfs>
  <cellStyles count="3">
    <cellStyle name="Comma" xfId="1" builtinId="3"/>
    <cellStyle name="Normal" xfId="0" builtinId="0"/>
    <cellStyle name="Percent" xfId="2" builtinId="5"/>
  </cellStyles>
  <dxfs count="67">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left/>
        <right style="thin">
          <color indexed="64"/>
        </right>
        <top style="thin">
          <color indexed="64"/>
        </top>
        <bottom style="thin">
          <color indexed="64"/>
        </bottom>
        <vertical/>
        <horizontal/>
      </border>
    </dxf>
    <dxf>
      <border outline="0">
        <left style="thin">
          <color indexed="64"/>
        </left>
        <bottom style="thin">
          <color indexed="64"/>
        </bottom>
      </border>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font>
        <b val="0"/>
        <i val="0"/>
        <strike val="0"/>
        <condense val="0"/>
        <extend val="0"/>
        <outline val="0"/>
        <shadow val="0"/>
        <u val="none"/>
        <vertAlign val="baseline"/>
        <sz val="10"/>
        <color theme="1"/>
        <name val="Cambria"/>
        <family val="1"/>
        <scheme val="major"/>
      </font>
    </dxf>
    <dxf>
      <alignment horizontal="left" vertical="bottom" textRotation="0" wrapText="0" indent="0" justifyLastLine="0" shrinkToFit="0" readingOrder="0"/>
    </dxf>
    <dxf>
      <alignment horizontal="left" vertical="bottom" textRotation="0" wrapText="0" indent="0" justifyLastLine="0" shrinkToFit="0" readingOrder="0"/>
    </dxf>
    <dxf>
      <fill>
        <patternFill>
          <bgColor rgb="FFFFFF00"/>
        </patternFill>
      </fill>
    </dxf>
    <dxf>
      <font>
        <color theme="0"/>
      </font>
      <fill>
        <patternFill>
          <bgColor theme="0" tint="-0.499984740745262"/>
        </patternFill>
      </fill>
    </dxf>
    <dxf>
      <font>
        <color theme="0"/>
      </font>
      <fill>
        <patternFill>
          <bgColor theme="6" tint="-0.499984740745262"/>
        </patternFill>
      </fill>
    </dxf>
    <dxf>
      <font>
        <color theme="0"/>
      </font>
      <fill>
        <patternFill>
          <bgColor theme="3" tint="-0.24994659260841701"/>
        </patternFill>
      </fill>
    </dxf>
    <dxf>
      <font>
        <color theme="0"/>
      </font>
      <fill>
        <patternFill>
          <bgColor theme="1" tint="4.9989318521683403E-2"/>
        </patternFill>
      </fill>
    </dxf>
    <dxf>
      <fill>
        <patternFill>
          <bgColor rgb="FFFFFF00"/>
        </patternFill>
      </fill>
    </dxf>
    <dxf>
      <font>
        <color theme="0"/>
      </font>
      <fill>
        <patternFill>
          <bgColor theme="1" tint="0.34998626667073579"/>
        </patternFill>
      </fill>
    </dxf>
    <dxf>
      <font>
        <color theme="0"/>
      </font>
      <fill>
        <patternFill>
          <bgColor rgb="FF06AA16"/>
        </patternFill>
      </fill>
    </dxf>
    <dxf>
      <fill>
        <patternFill>
          <bgColor rgb="FF92D050"/>
        </patternFill>
      </fill>
    </dxf>
    <dxf>
      <fill>
        <patternFill>
          <bgColor rgb="FFFFC000"/>
        </patternFill>
      </fill>
    </dxf>
  </dxfs>
  <tableStyles count="0" defaultTableStyle="TableStyleMedium9" defaultPivotStyle="PivotStyleLight16"/>
  <colors>
    <mruColors>
      <color rgb="FF06AA16"/>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Sales (Value)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'Intermediate  '!$K$4</c:f>
              <c:strCache>
                <c:ptCount val="1"/>
                <c:pt idx="0">
                  <c:v> Sales ( in Value) </c:v>
                </c:pt>
              </c:strCache>
            </c:strRef>
          </c:tx>
          <c:spPr>
            <a:solidFill>
              <a:schemeClr val="accent1"/>
            </a:solidFill>
            <a:ln>
              <a:noFill/>
            </a:ln>
            <a:effectLst/>
          </c:spPr>
          <c:invertIfNegative val="0"/>
          <c:cat>
            <c:numRef>
              <c:f>'Intermediate  '!$J$5:$J$11</c:f>
              <c:numCache>
                <c:formatCode>General</c:formatCode>
                <c:ptCount val="7"/>
                <c:pt idx="0">
                  <c:v>1</c:v>
                </c:pt>
                <c:pt idx="1">
                  <c:v>3</c:v>
                </c:pt>
                <c:pt idx="2">
                  <c:v>4</c:v>
                </c:pt>
                <c:pt idx="3">
                  <c:v>5</c:v>
                </c:pt>
                <c:pt idx="4">
                  <c:v>7</c:v>
                </c:pt>
                <c:pt idx="5">
                  <c:v>8</c:v>
                </c:pt>
                <c:pt idx="6">
                  <c:v>9</c:v>
                </c:pt>
              </c:numCache>
            </c:numRef>
          </c:cat>
          <c:val>
            <c:numRef>
              <c:f>'Intermediate  '!$K$5:$K$11</c:f>
              <c:numCache>
                <c:formatCode>0</c:formatCode>
                <c:ptCount val="7"/>
                <c:pt idx="0">
                  <c:v>3200</c:v>
                </c:pt>
                <c:pt idx="1">
                  <c:v>400</c:v>
                </c:pt>
                <c:pt idx="2">
                  <c:v>1200</c:v>
                </c:pt>
                <c:pt idx="3">
                  <c:v>400</c:v>
                </c:pt>
                <c:pt idx="4">
                  <c:v>0</c:v>
                </c:pt>
                <c:pt idx="5">
                  <c:v>2800</c:v>
                </c:pt>
                <c:pt idx="6">
                  <c:v>4400</c:v>
                </c:pt>
              </c:numCache>
            </c:numRef>
          </c:val>
          <c:extLst>
            <c:ext xmlns:c16="http://schemas.microsoft.com/office/drawing/2014/chart" uri="{C3380CC4-5D6E-409C-BE32-E72D297353CC}">
              <c16:uniqueId val="{00000000-8275-40AD-A1DE-5D51164F554B}"/>
            </c:ext>
          </c:extLst>
        </c:ser>
        <c:dLbls>
          <c:showLegendKey val="0"/>
          <c:showVal val="0"/>
          <c:showCatName val="0"/>
          <c:showSerName val="0"/>
          <c:showPercent val="0"/>
          <c:showBubbleSize val="0"/>
        </c:dLbls>
        <c:gapWidth val="300"/>
        <c:axId val="389336472"/>
        <c:axId val="389343920"/>
      </c:barChart>
      <c:catAx>
        <c:axId val="3893364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43920"/>
        <c:crosses val="autoZero"/>
        <c:auto val="1"/>
        <c:lblAlgn val="ctr"/>
        <c:lblOffset val="100"/>
        <c:noMultiLvlLbl val="0"/>
      </c:catAx>
      <c:valAx>
        <c:axId val="3893439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36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[AVIVA R&amp;A MI Excel Test.xlsm]Intermediate  !PivotTable1</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'Intermediate  '!$D$56</c:f>
              <c:strCache>
                <c:ptCount val="1"/>
                <c:pt idx="0">
                  <c:v>Sales in Value</c:v>
                </c:pt>
              </c:strCache>
            </c:strRef>
          </c:tx>
          <c:spPr>
            <a:solidFill>
              <a:schemeClr val="accent2"/>
            </a:solidFill>
            <a:ln>
              <a:noFill/>
            </a:ln>
            <a:effectLst/>
          </c:spPr>
          <c:invertIfNegative val="0"/>
          <c:cat>
            <c:strRef>
              <c:f>'Intermediate  '!$B$57:$B$64</c:f>
              <c:strCache>
                <c:ptCount val="7"/>
                <c:pt idx="0">
                  <c:v>1</c:v>
                </c:pt>
                <c:pt idx="1">
                  <c:v>3</c:v>
                </c:pt>
                <c:pt idx="2">
                  <c:v>4</c:v>
                </c:pt>
                <c:pt idx="3">
                  <c:v>5</c:v>
                </c:pt>
                <c:pt idx="4">
                  <c:v>7</c:v>
                </c:pt>
                <c:pt idx="5">
                  <c:v>8</c:v>
                </c:pt>
                <c:pt idx="6">
                  <c:v>9</c:v>
                </c:pt>
              </c:strCache>
            </c:strRef>
          </c:cat>
          <c:val>
            <c:numRef>
              <c:f>'Intermediate  '!$D$57:$D$64</c:f>
              <c:numCache>
                <c:formatCode>General</c:formatCode>
                <c:ptCount val="7"/>
                <c:pt idx="0">
                  <c:v>3200</c:v>
                </c:pt>
                <c:pt idx="1">
                  <c:v>400</c:v>
                </c:pt>
                <c:pt idx="2">
                  <c:v>1200</c:v>
                </c:pt>
                <c:pt idx="3">
                  <c:v>400</c:v>
                </c:pt>
                <c:pt idx="4">
                  <c:v>0</c:v>
                </c:pt>
                <c:pt idx="5">
                  <c:v>2800</c:v>
                </c:pt>
                <c:pt idx="6">
                  <c:v>4400</c:v>
                </c:pt>
              </c:numCache>
            </c:numRef>
          </c:val>
          <c:extLst>
            <c:ext xmlns:c16="http://schemas.microsoft.com/office/drawing/2014/chart" uri="{C3380CC4-5D6E-409C-BE32-E72D297353CC}">
              <c16:uniqueId val="{00000000-0CCA-48EF-86F8-2EE7FF599D7F}"/>
            </c:ext>
          </c:extLst>
        </c:ser>
        <c:ser>
          <c:idx val="2"/>
          <c:order val="2"/>
          <c:tx>
            <c:strRef>
              <c:f>'Intermediate  '!$E$56</c:f>
              <c:strCache>
                <c:ptCount val="1"/>
                <c:pt idx="0">
                  <c:v>Gross Premium </c:v>
                </c:pt>
              </c:strCache>
            </c:strRef>
          </c:tx>
          <c:spPr>
            <a:solidFill>
              <a:schemeClr val="accent3"/>
            </a:solidFill>
            <a:ln>
              <a:noFill/>
            </a:ln>
            <a:effectLst/>
          </c:spPr>
          <c:invertIfNegative val="0"/>
          <c:cat>
            <c:strRef>
              <c:f>'Intermediate  '!$B$57:$B$64</c:f>
              <c:strCache>
                <c:ptCount val="7"/>
                <c:pt idx="0">
                  <c:v>1</c:v>
                </c:pt>
                <c:pt idx="1">
                  <c:v>3</c:v>
                </c:pt>
                <c:pt idx="2">
                  <c:v>4</c:v>
                </c:pt>
                <c:pt idx="3">
                  <c:v>5</c:v>
                </c:pt>
                <c:pt idx="4">
                  <c:v>7</c:v>
                </c:pt>
                <c:pt idx="5">
                  <c:v>8</c:v>
                </c:pt>
                <c:pt idx="6">
                  <c:v>9</c:v>
                </c:pt>
              </c:strCache>
            </c:strRef>
          </c:cat>
          <c:val>
            <c:numRef>
              <c:f>'Intermediate  '!$E$57:$E$64</c:f>
              <c:numCache>
                <c:formatCode>0</c:formatCode>
                <c:ptCount val="7"/>
                <c:pt idx="0">
                  <c:v>320</c:v>
                </c:pt>
                <c:pt idx="1">
                  <c:v>40</c:v>
                </c:pt>
                <c:pt idx="2">
                  <c:v>120</c:v>
                </c:pt>
                <c:pt idx="3">
                  <c:v>40</c:v>
                </c:pt>
                <c:pt idx="4">
                  <c:v>0</c:v>
                </c:pt>
                <c:pt idx="5">
                  <c:v>280</c:v>
                </c:pt>
                <c:pt idx="6">
                  <c:v>440</c:v>
                </c:pt>
              </c:numCache>
            </c:numRef>
          </c:val>
          <c:extLst>
            <c:ext xmlns:c16="http://schemas.microsoft.com/office/drawing/2014/chart" uri="{C3380CC4-5D6E-409C-BE32-E72D297353CC}">
              <c16:uniqueId val="{00000001-0CCA-48EF-86F8-2EE7FF599D7F}"/>
            </c:ext>
          </c:extLst>
        </c:ser>
        <c:dLbls>
          <c:showLegendKey val="0"/>
          <c:showVal val="0"/>
          <c:showCatName val="0"/>
          <c:showSerName val="0"/>
          <c:showPercent val="0"/>
          <c:showBubbleSize val="0"/>
        </c:dLbls>
        <c:gapWidth val="219"/>
        <c:axId val="386166856"/>
        <c:axId val="386166072"/>
      </c:barChart>
      <c:lineChart>
        <c:grouping val="standard"/>
        <c:varyColors val="0"/>
        <c:ser>
          <c:idx val="0"/>
          <c:order val="0"/>
          <c:tx>
            <c:strRef>
              <c:f>'Intermediate  '!$C$56</c:f>
              <c:strCache>
                <c:ptCount val="1"/>
                <c:pt idx="0">
                  <c:v>Sales person's count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'Intermediate  '!$B$57:$B$64</c:f>
              <c:strCache>
                <c:ptCount val="7"/>
                <c:pt idx="0">
                  <c:v>1</c:v>
                </c:pt>
                <c:pt idx="1">
                  <c:v>3</c:v>
                </c:pt>
                <c:pt idx="2">
                  <c:v>4</c:v>
                </c:pt>
                <c:pt idx="3">
                  <c:v>5</c:v>
                </c:pt>
                <c:pt idx="4">
                  <c:v>7</c:v>
                </c:pt>
                <c:pt idx="5">
                  <c:v>8</c:v>
                </c:pt>
                <c:pt idx="6">
                  <c:v>9</c:v>
                </c:pt>
              </c:strCache>
            </c:strRef>
          </c:cat>
          <c:val>
            <c:numRef>
              <c:f>'Intermediate  '!$C$57:$C$64</c:f>
              <c:numCache>
                <c:formatCode>General</c:formatCode>
                <c:ptCount val="7"/>
                <c:pt idx="0">
                  <c:v>5</c:v>
                </c:pt>
                <c:pt idx="1">
                  <c:v>1</c:v>
                </c:pt>
                <c:pt idx="2">
                  <c:v>1</c:v>
                </c:pt>
                <c:pt idx="3">
                  <c:v>2</c:v>
                </c:pt>
                <c:pt idx="4">
                  <c:v>1</c:v>
                </c:pt>
                <c:pt idx="5">
                  <c:v>1</c:v>
                </c:pt>
                <c:pt idx="6">
                  <c:v>2</c:v>
                </c:pt>
              </c:numCache>
            </c:numRef>
          </c:val>
          <c:smooth val="0"/>
          <c:extLst>
            <c:ext xmlns:c16="http://schemas.microsoft.com/office/drawing/2014/chart" uri="{C3380CC4-5D6E-409C-BE32-E72D297353CC}">
              <c16:uniqueId val="{00000002-0CCA-48EF-86F8-2EE7FF599D7F}"/>
            </c:ext>
          </c:extLst>
        </c:ser>
        <c:dLbls>
          <c:showLegendKey val="0"/>
          <c:showVal val="0"/>
          <c:showCatName val="0"/>
          <c:showSerName val="0"/>
          <c:showPercent val="0"/>
          <c:showBubbleSize val="0"/>
        </c:dLbls>
        <c:marker val="1"/>
        <c:smooth val="0"/>
        <c:axId val="389340392"/>
        <c:axId val="389341176"/>
      </c:lineChart>
      <c:catAx>
        <c:axId val="386166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166072"/>
        <c:crosses val="autoZero"/>
        <c:auto val="1"/>
        <c:lblAlgn val="ctr"/>
        <c:lblOffset val="100"/>
        <c:noMultiLvlLbl val="0"/>
      </c:catAx>
      <c:valAx>
        <c:axId val="386166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166856"/>
        <c:crosses val="autoZero"/>
        <c:crossBetween val="between"/>
      </c:valAx>
      <c:valAx>
        <c:axId val="38934117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a:t>
                </a:r>
                <a:r>
                  <a:rPr lang="en-US" baseline="0"/>
                  <a:t> of Sales Person</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40392"/>
        <c:crosses val="max"/>
        <c:crossBetween val="between"/>
      </c:valAx>
      <c:catAx>
        <c:axId val="389340392"/>
        <c:scaling>
          <c:orientation val="minMax"/>
        </c:scaling>
        <c:delete val="1"/>
        <c:axPos val="b"/>
        <c:numFmt formatCode="General" sourceLinked="1"/>
        <c:majorTickMark val="out"/>
        <c:minorTickMark val="none"/>
        <c:tickLblPos val="nextTo"/>
        <c:crossAx val="38934117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Product sales mix, Trend and Monthly Growth Progression</a:t>
            </a:r>
          </a:p>
        </c:rich>
      </c:tx>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Expert!$AU$18</c:f>
              <c:strCache>
                <c:ptCount val="1"/>
                <c:pt idx="0">
                  <c:v>Glue Guns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Expert!$AV$17:$BS$17</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Expert!$AV$18:$BS$18</c:f>
              <c:numCache>
                <c:formatCode>General</c:formatCode>
                <c:ptCount val="24"/>
                <c:pt idx="0">
                  <c:v>27337</c:v>
                </c:pt>
                <c:pt idx="1">
                  <c:v>28769</c:v>
                </c:pt>
                <c:pt idx="2">
                  <c:v>30342</c:v>
                </c:pt>
                <c:pt idx="3">
                  <c:v>31997</c:v>
                </c:pt>
                <c:pt idx="4">
                  <c:v>33565</c:v>
                </c:pt>
                <c:pt idx="5">
                  <c:v>35170</c:v>
                </c:pt>
                <c:pt idx="6">
                  <c:v>37002</c:v>
                </c:pt>
                <c:pt idx="7">
                  <c:v>38569</c:v>
                </c:pt>
                <c:pt idx="8">
                  <c:v>40505</c:v>
                </c:pt>
                <c:pt idx="9">
                  <c:v>42534</c:v>
                </c:pt>
                <c:pt idx="10">
                  <c:v>44628</c:v>
                </c:pt>
                <c:pt idx="11">
                  <c:v>46592</c:v>
                </c:pt>
                <c:pt idx="12">
                  <c:v>49039</c:v>
                </c:pt>
                <c:pt idx="13">
                  <c:v>51459</c:v>
                </c:pt>
                <c:pt idx="14">
                  <c:v>53792</c:v>
                </c:pt>
                <c:pt idx="15">
                  <c:v>56604</c:v>
                </c:pt>
                <c:pt idx="16">
                  <c:v>59505</c:v>
                </c:pt>
                <c:pt idx="17">
                  <c:v>62404</c:v>
                </c:pt>
                <c:pt idx="18">
                  <c:v>64971</c:v>
                </c:pt>
                <c:pt idx="19">
                  <c:v>68625</c:v>
                </c:pt>
                <c:pt idx="20">
                  <c:v>71915</c:v>
                </c:pt>
                <c:pt idx="21">
                  <c:v>75831</c:v>
                </c:pt>
                <c:pt idx="22">
                  <c:v>79977</c:v>
                </c:pt>
                <c:pt idx="23">
                  <c:v>84455</c:v>
                </c:pt>
              </c:numCache>
            </c:numRef>
          </c:val>
          <c:extLst>
            <c:ext xmlns:c16="http://schemas.microsoft.com/office/drawing/2014/chart" uri="{C3380CC4-5D6E-409C-BE32-E72D297353CC}">
              <c16:uniqueId val="{00000000-BE6B-4A8F-8D9A-9D2675E23208}"/>
            </c:ext>
          </c:extLst>
        </c:ser>
        <c:ser>
          <c:idx val="1"/>
          <c:order val="1"/>
          <c:tx>
            <c:strRef>
              <c:f>Expert!$AU$19</c:f>
              <c:strCache>
                <c:ptCount val="1"/>
                <c:pt idx="0">
                  <c:v>Light Sabres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Expert!$AV$17:$BS$17</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Expert!$AV$19:$BS$19</c:f>
              <c:numCache>
                <c:formatCode>General</c:formatCode>
                <c:ptCount val="24"/>
                <c:pt idx="0">
                  <c:v>21951</c:v>
                </c:pt>
                <c:pt idx="1">
                  <c:v>23059</c:v>
                </c:pt>
                <c:pt idx="2">
                  <c:v>23942</c:v>
                </c:pt>
                <c:pt idx="3">
                  <c:v>25039</c:v>
                </c:pt>
                <c:pt idx="4">
                  <c:v>26435</c:v>
                </c:pt>
                <c:pt idx="5">
                  <c:v>27760</c:v>
                </c:pt>
                <c:pt idx="6">
                  <c:v>28913</c:v>
                </c:pt>
                <c:pt idx="7">
                  <c:v>30394</c:v>
                </c:pt>
                <c:pt idx="8">
                  <c:v>31908</c:v>
                </c:pt>
                <c:pt idx="9">
                  <c:v>33529</c:v>
                </c:pt>
                <c:pt idx="10">
                  <c:v>35297</c:v>
                </c:pt>
                <c:pt idx="11">
                  <c:v>37056</c:v>
                </c:pt>
                <c:pt idx="12">
                  <c:v>38818</c:v>
                </c:pt>
                <c:pt idx="13">
                  <c:v>40866</c:v>
                </c:pt>
                <c:pt idx="14">
                  <c:v>42882</c:v>
                </c:pt>
                <c:pt idx="15">
                  <c:v>45729</c:v>
                </c:pt>
                <c:pt idx="16">
                  <c:v>47937</c:v>
                </c:pt>
                <c:pt idx="17">
                  <c:v>50275</c:v>
                </c:pt>
                <c:pt idx="18">
                  <c:v>52910</c:v>
                </c:pt>
                <c:pt idx="19">
                  <c:v>55760</c:v>
                </c:pt>
                <c:pt idx="20">
                  <c:v>58255</c:v>
                </c:pt>
                <c:pt idx="21">
                  <c:v>60384</c:v>
                </c:pt>
                <c:pt idx="22">
                  <c:v>62998</c:v>
                </c:pt>
                <c:pt idx="23">
                  <c:v>66599</c:v>
                </c:pt>
              </c:numCache>
            </c:numRef>
          </c:val>
          <c:extLst>
            <c:ext xmlns:c16="http://schemas.microsoft.com/office/drawing/2014/chart" uri="{C3380CC4-5D6E-409C-BE32-E72D297353CC}">
              <c16:uniqueId val="{00000001-BE6B-4A8F-8D9A-9D2675E23208}"/>
            </c:ext>
          </c:extLst>
        </c:ser>
        <c:ser>
          <c:idx val="2"/>
          <c:order val="2"/>
          <c:tx>
            <c:strRef>
              <c:f>Expert!$AU$20</c:f>
              <c:strCache>
                <c:ptCount val="1"/>
                <c:pt idx="0">
                  <c:v>Transponders</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Expert!$AV$17:$BS$17</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Expert!$AV$20:$BS$20</c:f>
              <c:numCache>
                <c:formatCode>General</c:formatCode>
                <c:ptCount val="24"/>
                <c:pt idx="0">
                  <c:v>25714</c:v>
                </c:pt>
                <c:pt idx="1">
                  <c:v>26791</c:v>
                </c:pt>
                <c:pt idx="2">
                  <c:v>27941</c:v>
                </c:pt>
                <c:pt idx="3">
                  <c:v>29486</c:v>
                </c:pt>
                <c:pt idx="4">
                  <c:v>31104</c:v>
                </c:pt>
                <c:pt idx="5">
                  <c:v>32641</c:v>
                </c:pt>
                <c:pt idx="6">
                  <c:v>34438</c:v>
                </c:pt>
                <c:pt idx="7">
                  <c:v>36098</c:v>
                </c:pt>
                <c:pt idx="8">
                  <c:v>37951</c:v>
                </c:pt>
                <c:pt idx="9">
                  <c:v>39739</c:v>
                </c:pt>
                <c:pt idx="10">
                  <c:v>41965</c:v>
                </c:pt>
                <c:pt idx="11">
                  <c:v>44383</c:v>
                </c:pt>
                <c:pt idx="12">
                  <c:v>46624</c:v>
                </c:pt>
                <c:pt idx="13">
                  <c:v>48874</c:v>
                </c:pt>
                <c:pt idx="14">
                  <c:v>51523</c:v>
                </c:pt>
                <c:pt idx="15">
                  <c:v>53768</c:v>
                </c:pt>
                <c:pt idx="16">
                  <c:v>56558</c:v>
                </c:pt>
                <c:pt idx="17">
                  <c:v>58979</c:v>
                </c:pt>
                <c:pt idx="18">
                  <c:v>61653</c:v>
                </c:pt>
                <c:pt idx="19">
                  <c:v>64490</c:v>
                </c:pt>
                <c:pt idx="20">
                  <c:v>67863</c:v>
                </c:pt>
                <c:pt idx="21">
                  <c:v>70844</c:v>
                </c:pt>
                <c:pt idx="22">
                  <c:v>74026</c:v>
                </c:pt>
                <c:pt idx="23">
                  <c:v>77766</c:v>
                </c:pt>
              </c:numCache>
            </c:numRef>
          </c:val>
          <c:extLst>
            <c:ext xmlns:c16="http://schemas.microsoft.com/office/drawing/2014/chart" uri="{C3380CC4-5D6E-409C-BE32-E72D297353CC}">
              <c16:uniqueId val="{00000002-BE6B-4A8F-8D9A-9D2675E23208}"/>
            </c:ext>
          </c:extLst>
        </c:ser>
        <c:dLbls>
          <c:showLegendKey val="0"/>
          <c:showVal val="0"/>
          <c:showCatName val="0"/>
          <c:showSerName val="0"/>
          <c:showPercent val="0"/>
          <c:showBubbleSize val="0"/>
        </c:dLbls>
        <c:gapWidth val="150"/>
        <c:overlap val="100"/>
        <c:axId val="702017248"/>
        <c:axId val="702040128"/>
      </c:barChart>
      <c:scatterChart>
        <c:scatterStyle val="lineMarker"/>
        <c:varyColors val="0"/>
        <c:ser>
          <c:idx val="3"/>
          <c:order val="3"/>
          <c:tx>
            <c:strRef>
              <c:f>Expert!$AU$22</c:f>
              <c:strCache>
                <c:ptCount val="1"/>
                <c:pt idx="0">
                  <c:v>Total Growth</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strRef>
              <c:f>Expert!$AV$17:$BS$17</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xVal>
          <c:yVal>
            <c:numRef>
              <c:f>Expert!$AV$22:$BS$22</c:f>
              <c:numCache>
                <c:formatCode>0.00%</c:formatCode>
                <c:ptCount val="24"/>
                <c:pt idx="1">
                  <c:v>4.8225380656515826E-2</c:v>
                </c:pt>
                <c:pt idx="2">
                  <c:v>4.586677520701099E-2</c:v>
                </c:pt>
                <c:pt idx="3">
                  <c:v>4.586677520701099E-2</c:v>
                </c:pt>
                <c:pt idx="4">
                  <c:v>5.2259045302523566E-2</c:v>
                </c:pt>
                <c:pt idx="5">
                  <c:v>5.2259045302523566E-2</c:v>
                </c:pt>
                <c:pt idx="6">
                  <c:v>5.2957629273479467E-2</c:v>
                </c:pt>
                <c:pt idx="7">
                  <c:v>5.2957629273479467E-2</c:v>
                </c:pt>
                <c:pt idx="8">
                  <c:v>4.9031875658587909E-2</c:v>
                </c:pt>
                <c:pt idx="9">
                  <c:v>4.9031875658587909E-2</c:v>
                </c:pt>
                <c:pt idx="10">
                  <c:v>5.003609881658666E-2</c:v>
                </c:pt>
                <c:pt idx="11">
                  <c:v>5.003609881658666E-2</c:v>
                </c:pt>
                <c:pt idx="12">
                  <c:v>4.6914392195549715E-2</c:v>
                </c:pt>
                <c:pt idx="13">
                  <c:v>4.6914392195549715E-2</c:v>
                </c:pt>
                <c:pt idx="14">
                  <c:v>5.047543807883037E-2</c:v>
                </c:pt>
                <c:pt idx="15">
                  <c:v>5.047543807883037E-2</c:v>
                </c:pt>
                <c:pt idx="16">
                  <c:v>4.9273313761733828E-2</c:v>
                </c:pt>
                <c:pt idx="17">
                  <c:v>4.9273313761733828E-2</c:v>
                </c:pt>
                <c:pt idx="18">
                  <c:v>5.2572494430147998E-2</c:v>
                </c:pt>
                <c:pt idx="19">
                  <c:v>5.2572494430147998E-2</c:v>
                </c:pt>
                <c:pt idx="20">
                  <c:v>5.0381491508737497E-2</c:v>
                </c:pt>
                <c:pt idx="21">
                  <c:v>5.0381491508737497E-2</c:v>
                </c:pt>
                <c:pt idx="22">
                  <c:v>5.0378423975443454E-2</c:v>
                </c:pt>
                <c:pt idx="23">
                  <c:v>5.0378423975443454E-2</c:v>
                </c:pt>
              </c:numCache>
            </c:numRef>
          </c:yVal>
          <c:smooth val="0"/>
          <c:extLst>
            <c:ext xmlns:c16="http://schemas.microsoft.com/office/drawing/2014/chart" uri="{C3380CC4-5D6E-409C-BE32-E72D297353CC}">
              <c16:uniqueId val="{00000004-BE6B-4A8F-8D9A-9D2675E23208}"/>
            </c:ext>
          </c:extLst>
        </c:ser>
        <c:dLbls>
          <c:showLegendKey val="0"/>
          <c:showVal val="0"/>
          <c:showCatName val="0"/>
          <c:showSerName val="0"/>
          <c:showPercent val="0"/>
          <c:showBubbleSize val="0"/>
        </c:dLbls>
        <c:axId val="793835312"/>
        <c:axId val="793832816"/>
      </c:scatterChart>
      <c:catAx>
        <c:axId val="7020172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02040128"/>
        <c:crosses val="autoZero"/>
        <c:auto val="1"/>
        <c:lblAlgn val="ctr"/>
        <c:lblOffset val="100"/>
        <c:noMultiLvlLbl val="0"/>
      </c:catAx>
      <c:valAx>
        <c:axId val="70204012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Sales in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02017248"/>
        <c:crosses val="autoZero"/>
        <c:crossBetween val="between"/>
      </c:valAx>
      <c:valAx>
        <c:axId val="793832816"/>
        <c:scaling>
          <c:orientation val="minMax"/>
          <c:max val="6.0000000000000012E-2"/>
          <c:min val="3.0000000000000006E-2"/>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Growth in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3835312"/>
        <c:crosses val="max"/>
        <c:crossBetween val="midCat"/>
      </c:valAx>
      <c:valAx>
        <c:axId val="793835312"/>
        <c:scaling>
          <c:orientation val="minMax"/>
        </c:scaling>
        <c:delete val="1"/>
        <c:axPos val="b"/>
        <c:numFmt formatCode="General" sourceLinked="1"/>
        <c:majorTickMark val="none"/>
        <c:minorTickMark val="none"/>
        <c:tickLblPos val="nextTo"/>
        <c:crossAx val="79383281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r>
              <a:rPr lang="en-US" sz="1050"/>
              <a:t>Sales Contribution by Region</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Expert!$AV$26</c:f>
              <c:strCache>
                <c:ptCount val="1"/>
                <c:pt idx="0">
                  <c:v>Sales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171-4717-AE0E-2D2DE648EF8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171-4717-AE0E-2D2DE648EF8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171-4717-AE0E-2D2DE648EF8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171-4717-AE0E-2D2DE648EF89}"/>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Expert!$AU$27:$AU$30</c:f>
              <c:strCache>
                <c:ptCount val="4"/>
                <c:pt idx="0">
                  <c:v>North</c:v>
                </c:pt>
                <c:pt idx="1">
                  <c:v>East</c:v>
                </c:pt>
                <c:pt idx="2">
                  <c:v>West</c:v>
                </c:pt>
                <c:pt idx="3">
                  <c:v>South</c:v>
                </c:pt>
              </c:strCache>
            </c:strRef>
          </c:cat>
          <c:val>
            <c:numRef>
              <c:f>Expert!$AV$27:$AV$30</c:f>
              <c:numCache>
                <c:formatCode>General</c:formatCode>
                <c:ptCount val="4"/>
                <c:pt idx="0">
                  <c:v>735082</c:v>
                </c:pt>
                <c:pt idx="1">
                  <c:v>904847</c:v>
                </c:pt>
                <c:pt idx="2">
                  <c:v>694003</c:v>
                </c:pt>
                <c:pt idx="3">
                  <c:v>991570</c:v>
                </c:pt>
              </c:numCache>
            </c:numRef>
          </c:val>
          <c:extLst>
            <c:ext xmlns:c16="http://schemas.microsoft.com/office/drawing/2014/chart" uri="{C3380CC4-5D6E-409C-BE32-E72D297353CC}">
              <c16:uniqueId val="{00000008-A171-4717-AE0E-2D2DE648EF89}"/>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r>
              <a:rPr lang="en-US" sz="1050"/>
              <a:t>Sales Contribution by Customer</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Expert!$AV$33</c:f>
              <c:strCache>
                <c:ptCount val="1"/>
                <c:pt idx="0">
                  <c:v>Sales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6D64-4756-BE22-FEAB814AAA5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6D64-4756-BE22-FEAB814AAA5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6D64-4756-BE22-FEAB814AAA5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6D64-4756-BE22-FEAB814AAA5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Expert!$AU$34:$AU$36</c:f>
              <c:strCache>
                <c:ptCount val="3"/>
                <c:pt idx="0">
                  <c:v>Enterprise</c:v>
                </c:pt>
                <c:pt idx="1">
                  <c:v>Galaxy</c:v>
                </c:pt>
                <c:pt idx="2">
                  <c:v>Planet</c:v>
                </c:pt>
              </c:strCache>
            </c:strRef>
          </c:cat>
          <c:val>
            <c:numRef>
              <c:f>Expert!$AV$34:$AV$36</c:f>
              <c:numCache>
                <c:formatCode>General</c:formatCode>
                <c:ptCount val="3"/>
                <c:pt idx="0">
                  <c:v>1239210</c:v>
                </c:pt>
                <c:pt idx="1">
                  <c:v>1116815</c:v>
                </c:pt>
                <c:pt idx="2">
                  <c:v>969477</c:v>
                </c:pt>
              </c:numCache>
            </c:numRef>
          </c:val>
          <c:extLst>
            <c:ext xmlns:c16="http://schemas.microsoft.com/office/drawing/2014/chart" uri="{C3380CC4-5D6E-409C-BE32-E72D297353CC}">
              <c16:uniqueId val="{00000011-6D64-4756-BE22-FEAB814AAA55}"/>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900"/>
              <a:t>YTD Growth by Products and Total Sales</a:t>
            </a:r>
          </a:p>
        </c:rich>
      </c:tx>
      <c:overlay val="0"/>
      <c:spPr>
        <a:noFill/>
        <a:ln>
          <a:noFill/>
        </a:ln>
        <a:effectLst/>
      </c:spPr>
    </c:title>
    <c:autoTitleDeleted val="0"/>
    <c:plotArea>
      <c:layout/>
      <c:barChart>
        <c:barDir val="bar"/>
        <c:grouping val="clustered"/>
        <c:varyColors val="0"/>
        <c:ser>
          <c:idx val="0"/>
          <c:order val="0"/>
          <c:tx>
            <c:strRef>
              <c:f>Expert!$AX$27</c:f>
              <c:strCache>
                <c:ptCount val="1"/>
                <c:pt idx="0">
                  <c:v>Light Sabres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Lbl>
              <c:idx val="0"/>
              <c:dLblPos val="ct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3631-4BC9-B00B-70450FD2DC9D}"/>
                </c:ext>
              </c:extLst>
            </c:dLbl>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lt1">
                          <a:lumMod val="95000"/>
                          <a:alpha val="54000"/>
                        </a:schemeClr>
                      </a:solidFill>
                    </a:ln>
                    <a:effectLst/>
                  </c:spPr>
                </c15:leaderLines>
              </c:ext>
            </c:extLst>
          </c:dLbls>
          <c:cat>
            <c:strRef>
              <c:f>Expert!$BA$26</c:f>
              <c:strCache>
                <c:ptCount val="1"/>
                <c:pt idx="0">
                  <c:v>YTD Growth</c:v>
                </c:pt>
              </c:strCache>
            </c:strRef>
          </c:cat>
          <c:val>
            <c:numRef>
              <c:f>Expert!$BA$27</c:f>
              <c:numCache>
                <c:formatCode>0.00%</c:formatCode>
                <c:ptCount val="1"/>
                <c:pt idx="0">
                  <c:v>0.80551315877121077</c:v>
                </c:pt>
              </c:numCache>
            </c:numRef>
          </c:val>
          <c:extLst>
            <c:ext xmlns:c16="http://schemas.microsoft.com/office/drawing/2014/chart" uri="{C3380CC4-5D6E-409C-BE32-E72D297353CC}">
              <c16:uniqueId val="{00000000-3631-4BC9-B00B-70450FD2DC9D}"/>
            </c:ext>
          </c:extLst>
        </c:ser>
        <c:ser>
          <c:idx val="1"/>
          <c:order val="1"/>
          <c:tx>
            <c:strRef>
              <c:f>Expert!$AX$28</c:f>
              <c:strCache>
                <c:ptCount val="1"/>
                <c:pt idx="0">
                  <c:v>Transponders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Lbl>
              <c:idx val="0"/>
              <c:dLblPos val="ct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3631-4BC9-B00B-70450FD2DC9D}"/>
                </c:ext>
              </c:extLst>
            </c:dLbl>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lt1">
                          <a:lumMod val="95000"/>
                          <a:alpha val="54000"/>
                        </a:schemeClr>
                      </a:solidFill>
                    </a:ln>
                    <a:effectLst/>
                  </c:spPr>
                </c15:leaderLines>
              </c:ext>
            </c:extLst>
          </c:dLbls>
          <c:cat>
            <c:strRef>
              <c:f>Expert!$BA$26</c:f>
              <c:strCache>
                <c:ptCount val="1"/>
                <c:pt idx="0">
                  <c:v>YTD Growth</c:v>
                </c:pt>
              </c:strCache>
            </c:strRef>
          </c:cat>
          <c:val>
            <c:numRef>
              <c:f>Expert!$BA$28</c:f>
              <c:numCache>
                <c:formatCode>0.00%</c:formatCode>
                <c:ptCount val="1"/>
                <c:pt idx="0">
                  <c:v>0.79538568184768677</c:v>
                </c:pt>
              </c:numCache>
            </c:numRef>
          </c:val>
          <c:extLst>
            <c:ext xmlns:c16="http://schemas.microsoft.com/office/drawing/2014/chart" uri="{C3380CC4-5D6E-409C-BE32-E72D297353CC}">
              <c16:uniqueId val="{00000002-3631-4BC9-B00B-70450FD2DC9D}"/>
            </c:ext>
          </c:extLst>
        </c:ser>
        <c:ser>
          <c:idx val="2"/>
          <c:order val="2"/>
          <c:tx>
            <c:strRef>
              <c:f>Expert!$AX$29</c:f>
              <c:strCache>
                <c:ptCount val="1"/>
                <c:pt idx="0">
                  <c:v>Glue Guns</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Lbl>
              <c:idx val="0"/>
              <c:dLblPos val="ct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3631-4BC9-B00B-70450FD2DC9D}"/>
                </c:ext>
              </c:extLst>
            </c:dLbl>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lt1">
                          <a:lumMod val="95000"/>
                          <a:alpha val="54000"/>
                        </a:schemeClr>
                      </a:solidFill>
                    </a:ln>
                    <a:effectLst/>
                  </c:spPr>
                </c15:leaderLines>
              </c:ext>
            </c:extLst>
          </c:dLbls>
          <c:cat>
            <c:strRef>
              <c:f>Expert!$BA$26</c:f>
              <c:strCache>
                <c:ptCount val="1"/>
                <c:pt idx="0">
                  <c:v>YTD Growth</c:v>
                </c:pt>
              </c:strCache>
            </c:strRef>
          </c:cat>
          <c:val>
            <c:numRef>
              <c:f>Expert!$BA$29</c:f>
              <c:numCache>
                <c:formatCode>0.00%</c:formatCode>
                <c:ptCount val="1"/>
                <c:pt idx="0">
                  <c:v>0.78159996338756543</c:v>
                </c:pt>
              </c:numCache>
            </c:numRef>
          </c:val>
          <c:extLst>
            <c:ext xmlns:c16="http://schemas.microsoft.com/office/drawing/2014/chart" uri="{C3380CC4-5D6E-409C-BE32-E72D297353CC}">
              <c16:uniqueId val="{00000003-3631-4BC9-B00B-70450FD2DC9D}"/>
            </c:ext>
          </c:extLst>
        </c:ser>
        <c:ser>
          <c:idx val="3"/>
          <c:order val="3"/>
          <c:tx>
            <c:strRef>
              <c:f>Expert!$AX$30</c:f>
              <c:strCache>
                <c:ptCount val="1"/>
                <c:pt idx="0">
                  <c:v>Total Growth</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Lbl>
              <c:idx val="0"/>
              <c:dLblPos val="ct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3631-4BC9-B00B-70450FD2DC9D}"/>
                </c:ext>
              </c:extLst>
            </c:dLbl>
            <c:spPr>
              <a:noFill/>
              <a:ln>
                <a:noFill/>
              </a:ln>
              <a:effectLst/>
            </c:spPr>
            <c:txPr>
              <a:bodyPr rot="0" spcFirstLastPara="1" vertOverflow="clip" horzOverflow="clip" vert="horz" wrap="non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lt1">
                          <a:lumMod val="95000"/>
                          <a:alpha val="54000"/>
                        </a:schemeClr>
                      </a:solidFill>
                    </a:ln>
                    <a:effectLst/>
                  </c:spPr>
                </c15:leaderLines>
              </c:ext>
            </c:extLst>
          </c:dLbls>
          <c:cat>
            <c:strRef>
              <c:f>Expert!$BA$26</c:f>
              <c:strCache>
                <c:ptCount val="1"/>
                <c:pt idx="0">
                  <c:v>YTD Growth</c:v>
                </c:pt>
              </c:strCache>
            </c:strRef>
          </c:cat>
          <c:val>
            <c:numRef>
              <c:f>Expert!$BA$30</c:f>
              <c:numCache>
                <c:formatCode>0.00%</c:formatCode>
                <c:ptCount val="1"/>
                <c:pt idx="0">
                  <c:v>0.79326257576368442</c:v>
                </c:pt>
              </c:numCache>
            </c:numRef>
          </c:val>
          <c:extLst>
            <c:ext xmlns:c16="http://schemas.microsoft.com/office/drawing/2014/chart" uri="{C3380CC4-5D6E-409C-BE32-E72D297353CC}">
              <c16:uniqueId val="{00000004-3631-4BC9-B00B-70450FD2DC9D}"/>
            </c:ext>
          </c:extLst>
        </c:ser>
        <c:dLbls>
          <c:dLblPos val="outEnd"/>
          <c:showLegendKey val="0"/>
          <c:showVal val="1"/>
          <c:showCatName val="0"/>
          <c:showSerName val="0"/>
          <c:showPercent val="0"/>
          <c:showBubbleSize val="0"/>
        </c:dLbls>
        <c:gapWidth val="50"/>
        <c:overlap val="-19"/>
        <c:axId val="793853200"/>
        <c:axId val="793849456"/>
      </c:barChart>
      <c:catAx>
        <c:axId val="793853200"/>
        <c:scaling>
          <c:orientation val="minMax"/>
        </c:scaling>
        <c:delete val="1"/>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Products</a:t>
                </a:r>
              </a:p>
            </c:rich>
          </c:tx>
          <c:overlay val="0"/>
          <c:spPr>
            <a:noFill/>
            <a:ln>
              <a:noFill/>
            </a:ln>
            <a:effectLst/>
          </c:spPr>
        </c:title>
        <c:numFmt formatCode="General" sourceLinked="1"/>
        <c:majorTickMark val="none"/>
        <c:minorTickMark val="none"/>
        <c:tickLblPos val="nextTo"/>
        <c:crossAx val="793849456"/>
        <c:crosses val="autoZero"/>
        <c:auto val="0"/>
        <c:lblAlgn val="ctr"/>
        <c:lblOffset val="0"/>
        <c:noMultiLvlLbl val="0"/>
      </c:catAx>
      <c:valAx>
        <c:axId val="793849456"/>
        <c:scaling>
          <c:orientation val="minMax"/>
          <c:max val="1"/>
          <c:min val="0"/>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YTD Growth %</a:t>
                </a:r>
              </a:p>
            </c:rich>
          </c:tx>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385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Average Per month Sales VS Per capita per other Sales-men</a:t>
            </a:r>
          </a:p>
        </c:rich>
      </c:tx>
      <c:overlay val="0"/>
      <c:spPr>
        <a:noFill/>
        <a:ln>
          <a:noFill/>
        </a:ln>
        <a:effectLst/>
      </c:spPr>
      <c:txPr>
        <a:bodyPr rot="0" spcFirstLastPara="1" vertOverflow="ellipsis" vert="horz" wrap="square" anchor="ctr" anchorCtr="1"/>
        <a:lstStyle/>
        <a:p>
          <a:pPr>
            <a:defRPr sz="11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Expert!$AX$34</c:f>
              <c:strCache>
                <c:ptCount val="1"/>
                <c:pt idx="0">
                  <c:v>Chewbacca</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Expert!$AY$33:$AZ$33</c:f>
              <c:numCache>
                <c:formatCode>General</c:formatCode>
                <c:ptCount val="2"/>
                <c:pt idx="0">
                  <c:v>2008</c:v>
                </c:pt>
                <c:pt idx="1">
                  <c:v>2009</c:v>
                </c:pt>
              </c:numCache>
            </c:numRef>
          </c:cat>
          <c:val>
            <c:numRef>
              <c:f>Expert!$AY$34:$AZ$34</c:f>
              <c:numCache>
                <c:formatCode>General</c:formatCode>
                <c:ptCount val="2"/>
                <c:pt idx="0">
                  <c:v>8142.9444444444443</c:v>
                </c:pt>
                <c:pt idx="1">
                  <c:v>14488.194444444445</c:v>
                </c:pt>
              </c:numCache>
            </c:numRef>
          </c:val>
          <c:extLst>
            <c:ext xmlns:c16="http://schemas.microsoft.com/office/drawing/2014/chart" uri="{C3380CC4-5D6E-409C-BE32-E72D297353CC}">
              <c16:uniqueId val="{00000000-1277-498A-96DC-C26342B159B6}"/>
            </c:ext>
          </c:extLst>
        </c:ser>
        <c:ser>
          <c:idx val="1"/>
          <c:order val="1"/>
          <c:tx>
            <c:strRef>
              <c:f>Expert!$AX$35</c:f>
              <c:strCache>
                <c:ptCount val="1"/>
                <c:pt idx="0">
                  <c:v>Others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numFmt formatCode="#,##0.00" sourceLinked="0"/>
            <c:spPr>
              <a:noFill/>
              <a:ln>
                <a:noFill/>
              </a:ln>
              <a:effectLst/>
            </c:spPr>
            <c:txPr>
              <a:bodyPr rot="-5400000" spcFirstLastPara="1" vertOverflow="clip" horzOverflow="clip"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Expert!$AY$33:$AZ$33</c:f>
              <c:numCache>
                <c:formatCode>General</c:formatCode>
                <c:ptCount val="2"/>
                <c:pt idx="0">
                  <c:v>2008</c:v>
                </c:pt>
                <c:pt idx="1">
                  <c:v>2009</c:v>
                </c:pt>
              </c:numCache>
            </c:numRef>
          </c:cat>
          <c:val>
            <c:numRef>
              <c:f>Expert!$AY$35:$AZ$35</c:f>
              <c:numCache>
                <c:formatCode>General</c:formatCode>
                <c:ptCount val="2"/>
                <c:pt idx="0">
                  <c:v>8267.6666666666661</c:v>
                </c:pt>
                <c:pt idx="1">
                  <c:v>14826.097222222223</c:v>
                </c:pt>
              </c:numCache>
            </c:numRef>
          </c:val>
          <c:extLst>
            <c:ext xmlns:c16="http://schemas.microsoft.com/office/drawing/2014/chart" uri="{C3380CC4-5D6E-409C-BE32-E72D297353CC}">
              <c16:uniqueId val="{00000001-1277-498A-96DC-C26342B159B6}"/>
            </c:ext>
          </c:extLst>
        </c:ser>
        <c:dLbls>
          <c:showLegendKey val="0"/>
          <c:showVal val="0"/>
          <c:showCatName val="0"/>
          <c:showSerName val="0"/>
          <c:showPercent val="0"/>
          <c:showBubbleSize val="0"/>
        </c:dLbls>
        <c:gapWidth val="150"/>
        <c:axId val="1829711984"/>
        <c:axId val="1829705328"/>
      </c:barChart>
      <c:catAx>
        <c:axId val="18297119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29705328"/>
        <c:crosses val="autoZero"/>
        <c:auto val="1"/>
        <c:lblAlgn val="ctr"/>
        <c:lblOffset val="100"/>
        <c:noMultiLvlLbl val="0"/>
      </c:catAx>
      <c:valAx>
        <c:axId val="1829705328"/>
        <c:scaling>
          <c:orientation val="minMax"/>
          <c:min val="100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297119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Expert!$O$12:$R$12</c:f>
              <c:strCache>
                <c:ptCount val="4"/>
                <c:pt idx="0">
                  <c:v>East</c:v>
                </c:pt>
                <c:pt idx="1">
                  <c:v>Light Sabres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Expert!$S$12:$AP$12</c:f>
              <c:numCache>
                <c:formatCode>General</c:formatCode>
                <c:ptCount val="24"/>
                <c:pt idx="0">
                  <c:v>192</c:v>
                </c:pt>
                <c:pt idx="1">
                  <c:v>201</c:v>
                </c:pt>
                <c:pt idx="2">
                  <c:v>209</c:v>
                </c:pt>
                <c:pt idx="3">
                  <c:v>210</c:v>
                </c:pt>
                <c:pt idx="4">
                  <c:v>222</c:v>
                </c:pt>
                <c:pt idx="5">
                  <c:v>237</c:v>
                </c:pt>
                <c:pt idx="6">
                  <c:v>256</c:v>
                </c:pt>
                <c:pt idx="7">
                  <c:v>268</c:v>
                </c:pt>
                <c:pt idx="8">
                  <c:v>277</c:v>
                </c:pt>
                <c:pt idx="9">
                  <c:v>299</c:v>
                </c:pt>
                <c:pt idx="10">
                  <c:v>326</c:v>
                </c:pt>
                <c:pt idx="11">
                  <c:v>331</c:v>
                </c:pt>
                <c:pt idx="12">
                  <c:v>336</c:v>
                </c:pt>
                <c:pt idx="13">
                  <c:v>358</c:v>
                </c:pt>
                <c:pt idx="14">
                  <c:v>376</c:v>
                </c:pt>
                <c:pt idx="15">
                  <c:v>394</c:v>
                </c:pt>
                <c:pt idx="16">
                  <c:v>406</c:v>
                </c:pt>
                <c:pt idx="17">
                  <c:v>443</c:v>
                </c:pt>
                <c:pt idx="18">
                  <c:v>481</c:v>
                </c:pt>
                <c:pt idx="19">
                  <c:v>502</c:v>
                </c:pt>
                <c:pt idx="20">
                  <c:v>516</c:v>
                </c:pt>
                <c:pt idx="21">
                  <c:v>517</c:v>
                </c:pt>
                <c:pt idx="22">
                  <c:v>564</c:v>
                </c:pt>
                <c:pt idx="23">
                  <c:v>587</c:v>
                </c:pt>
              </c:numCache>
            </c:numRef>
          </c:val>
          <c:extLst>
            <c:ext xmlns:c16="http://schemas.microsoft.com/office/drawing/2014/chart" uri="{C3380CC4-5D6E-409C-BE32-E72D297353CC}">
              <c16:uniqueId val="{00000000-3948-4D11-B9FE-E7A7DC43B39A}"/>
            </c:ext>
          </c:extLst>
        </c:ser>
        <c:ser>
          <c:idx val="1"/>
          <c:order val="1"/>
          <c:tx>
            <c:strRef>
              <c:f>Expert!$O$13:$R$13</c:f>
              <c:strCache>
                <c:ptCount val="4"/>
                <c:pt idx="0">
                  <c:v>East</c:v>
                </c:pt>
                <c:pt idx="1">
                  <c:v>Light Sabres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Expert!$S$13:$AP$13</c:f>
              <c:numCache>
                <c:formatCode>General</c:formatCode>
                <c:ptCount val="24"/>
                <c:pt idx="0">
                  <c:v>784</c:v>
                </c:pt>
                <c:pt idx="1">
                  <c:v>821</c:v>
                </c:pt>
                <c:pt idx="2">
                  <c:v>890</c:v>
                </c:pt>
                <c:pt idx="3">
                  <c:v>962</c:v>
                </c:pt>
                <c:pt idx="4" formatCode="#,##0">
                  <c:v>1014</c:v>
                </c:pt>
                <c:pt idx="5" formatCode="#,##0">
                  <c:v>1077</c:v>
                </c:pt>
                <c:pt idx="6" formatCode="#,##0">
                  <c:v>1078</c:v>
                </c:pt>
                <c:pt idx="7" formatCode="#,##0">
                  <c:v>1097</c:v>
                </c:pt>
                <c:pt idx="8" formatCode="#,##0">
                  <c:v>1185</c:v>
                </c:pt>
                <c:pt idx="9" formatCode="#,##0">
                  <c:v>1231</c:v>
                </c:pt>
                <c:pt idx="10" formatCode="#,##0">
                  <c:v>1302</c:v>
                </c:pt>
                <c:pt idx="11" formatCode="#,##0">
                  <c:v>1414</c:v>
                </c:pt>
                <c:pt idx="12" formatCode="#,##0">
                  <c:v>1517</c:v>
                </c:pt>
                <c:pt idx="13" formatCode="#,##0">
                  <c:v>1615</c:v>
                </c:pt>
                <c:pt idx="14" formatCode="#,##0">
                  <c:v>1615</c:v>
                </c:pt>
                <c:pt idx="15" formatCode="#,##0">
                  <c:v>1738</c:v>
                </c:pt>
                <c:pt idx="16" formatCode="#,##0">
                  <c:v>1860</c:v>
                </c:pt>
                <c:pt idx="17" formatCode="#,##0">
                  <c:v>1949</c:v>
                </c:pt>
                <c:pt idx="18" formatCode="#,##0">
                  <c:v>2129</c:v>
                </c:pt>
                <c:pt idx="19" formatCode="#,##0">
                  <c:v>2253</c:v>
                </c:pt>
                <c:pt idx="20" formatCode="#,##0">
                  <c:v>2472</c:v>
                </c:pt>
                <c:pt idx="21" formatCode="#,##0">
                  <c:v>2648</c:v>
                </c:pt>
                <c:pt idx="22" formatCode="#,##0">
                  <c:v>2781</c:v>
                </c:pt>
                <c:pt idx="23" formatCode="#,##0">
                  <c:v>2966</c:v>
                </c:pt>
              </c:numCache>
            </c:numRef>
          </c:val>
          <c:extLst>
            <c:ext xmlns:c16="http://schemas.microsoft.com/office/drawing/2014/chart" uri="{C3380CC4-5D6E-409C-BE32-E72D297353CC}">
              <c16:uniqueId val="{00000001-3948-4D11-B9FE-E7A7DC43B39A}"/>
            </c:ext>
          </c:extLst>
        </c:ser>
        <c:ser>
          <c:idx val="2"/>
          <c:order val="2"/>
          <c:tx>
            <c:strRef>
              <c:f>Expert!$O$14:$R$14</c:f>
              <c:strCache>
                <c:ptCount val="4"/>
                <c:pt idx="0">
                  <c:v>East</c:v>
                </c:pt>
                <c:pt idx="1">
                  <c:v>Light Sabres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Expert!$S$14:$AP$14</c:f>
              <c:numCache>
                <c:formatCode>General</c:formatCode>
                <c:ptCount val="24"/>
                <c:pt idx="0">
                  <c:v>764</c:v>
                </c:pt>
                <c:pt idx="1">
                  <c:v>789</c:v>
                </c:pt>
                <c:pt idx="2">
                  <c:v>832</c:v>
                </c:pt>
                <c:pt idx="3">
                  <c:v>862</c:v>
                </c:pt>
                <c:pt idx="4">
                  <c:v>876</c:v>
                </c:pt>
                <c:pt idx="5">
                  <c:v>933</c:v>
                </c:pt>
                <c:pt idx="6">
                  <c:v>940</c:v>
                </c:pt>
                <c:pt idx="7">
                  <c:v>981</c:v>
                </c:pt>
                <c:pt idx="8" formatCode="#,##0">
                  <c:v>1072</c:v>
                </c:pt>
                <c:pt idx="9" formatCode="#,##0">
                  <c:v>1091</c:v>
                </c:pt>
                <c:pt idx="10" formatCode="#,##0">
                  <c:v>1153</c:v>
                </c:pt>
                <c:pt idx="11" formatCode="#,##0">
                  <c:v>1201</c:v>
                </c:pt>
                <c:pt idx="12" formatCode="#,##0">
                  <c:v>1307</c:v>
                </c:pt>
                <c:pt idx="13" formatCode="#,##0">
                  <c:v>1320</c:v>
                </c:pt>
                <c:pt idx="14" formatCode="#,##0">
                  <c:v>1402</c:v>
                </c:pt>
                <c:pt idx="15" formatCode="#,##0">
                  <c:v>1530</c:v>
                </c:pt>
                <c:pt idx="16" formatCode="#,##0">
                  <c:v>1566</c:v>
                </c:pt>
                <c:pt idx="17" formatCode="#,##0">
                  <c:v>1589</c:v>
                </c:pt>
                <c:pt idx="18" formatCode="#,##0">
                  <c:v>1642</c:v>
                </c:pt>
                <c:pt idx="19" formatCode="#,##0">
                  <c:v>1745</c:v>
                </c:pt>
                <c:pt idx="20" formatCode="#,##0">
                  <c:v>1848</c:v>
                </c:pt>
                <c:pt idx="21" formatCode="#,##0">
                  <c:v>1932</c:v>
                </c:pt>
                <c:pt idx="22" formatCode="#,##0">
                  <c:v>2072</c:v>
                </c:pt>
                <c:pt idx="23" formatCode="#,##0">
                  <c:v>2119</c:v>
                </c:pt>
              </c:numCache>
            </c:numRef>
          </c:val>
          <c:extLst>
            <c:ext xmlns:c16="http://schemas.microsoft.com/office/drawing/2014/chart" uri="{C3380CC4-5D6E-409C-BE32-E72D297353CC}">
              <c16:uniqueId val="{00000002-3948-4D11-B9FE-E7A7DC43B39A}"/>
            </c:ext>
          </c:extLst>
        </c:ser>
        <c:ser>
          <c:idx val="3"/>
          <c:order val="3"/>
          <c:tx>
            <c:strRef>
              <c:f>Expert!$O$15:$R$15</c:f>
              <c:strCache>
                <c:ptCount val="4"/>
                <c:pt idx="0">
                  <c:v>East</c:v>
                </c:pt>
                <c:pt idx="1">
                  <c:v>Light Sabres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Expert!$S$15:$AP$15</c:f>
              <c:numCache>
                <c:formatCode>General</c:formatCode>
                <c:ptCount val="24"/>
                <c:pt idx="0">
                  <c:v>676</c:v>
                </c:pt>
                <c:pt idx="1">
                  <c:v>717</c:v>
                </c:pt>
                <c:pt idx="2">
                  <c:v>764</c:v>
                </c:pt>
                <c:pt idx="3">
                  <c:v>792</c:v>
                </c:pt>
                <c:pt idx="4">
                  <c:v>841</c:v>
                </c:pt>
                <c:pt idx="5">
                  <c:v>841</c:v>
                </c:pt>
                <c:pt idx="6">
                  <c:v>900</c:v>
                </c:pt>
                <c:pt idx="7">
                  <c:v>920</c:v>
                </c:pt>
                <c:pt idx="8" formatCode="#,##0">
                  <c:v>1008</c:v>
                </c:pt>
                <c:pt idx="9" formatCode="#,##0">
                  <c:v>1071</c:v>
                </c:pt>
                <c:pt idx="10" formatCode="#,##0">
                  <c:v>1157</c:v>
                </c:pt>
                <c:pt idx="11" formatCode="#,##0">
                  <c:v>1264</c:v>
                </c:pt>
                <c:pt idx="12" formatCode="#,##0">
                  <c:v>1276</c:v>
                </c:pt>
                <c:pt idx="13" formatCode="#,##0">
                  <c:v>1313</c:v>
                </c:pt>
                <c:pt idx="14" formatCode="#,##0">
                  <c:v>1425</c:v>
                </c:pt>
                <c:pt idx="15" formatCode="#,##0">
                  <c:v>1502</c:v>
                </c:pt>
                <c:pt idx="16" formatCode="#,##0">
                  <c:v>1562</c:v>
                </c:pt>
                <c:pt idx="17" formatCode="#,##0">
                  <c:v>1676</c:v>
                </c:pt>
                <c:pt idx="18" formatCode="#,##0">
                  <c:v>1765</c:v>
                </c:pt>
                <c:pt idx="19" formatCode="#,##0">
                  <c:v>1796</c:v>
                </c:pt>
                <c:pt idx="20" formatCode="#,##0">
                  <c:v>1885</c:v>
                </c:pt>
                <c:pt idx="21" formatCode="#,##0">
                  <c:v>1920</c:v>
                </c:pt>
                <c:pt idx="22" formatCode="#,##0">
                  <c:v>1924</c:v>
                </c:pt>
                <c:pt idx="23" formatCode="#,##0">
                  <c:v>2021</c:v>
                </c:pt>
              </c:numCache>
            </c:numRef>
          </c:val>
          <c:extLst>
            <c:ext xmlns:c16="http://schemas.microsoft.com/office/drawing/2014/chart" uri="{C3380CC4-5D6E-409C-BE32-E72D297353CC}">
              <c16:uniqueId val="{00000003-3948-4D11-B9FE-E7A7DC43B39A}"/>
            </c:ext>
          </c:extLst>
        </c:ser>
        <c:ser>
          <c:idx val="4"/>
          <c:order val="4"/>
          <c:tx>
            <c:strRef>
              <c:f>Expert!$O$16:$R$16</c:f>
              <c:strCache>
                <c:ptCount val="4"/>
                <c:pt idx="0">
                  <c:v>East</c:v>
                </c:pt>
                <c:pt idx="1">
                  <c:v>Light Sabres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Expert!$S$16:$AP$16</c:f>
              <c:numCache>
                <c:formatCode>General</c:formatCode>
                <c:ptCount val="24"/>
                <c:pt idx="0">
                  <c:v>697</c:v>
                </c:pt>
                <c:pt idx="1">
                  <c:v>742</c:v>
                </c:pt>
                <c:pt idx="2">
                  <c:v>791</c:v>
                </c:pt>
                <c:pt idx="3">
                  <c:v>851</c:v>
                </c:pt>
                <c:pt idx="4">
                  <c:v>871</c:v>
                </c:pt>
                <c:pt idx="5">
                  <c:v>928</c:v>
                </c:pt>
                <c:pt idx="6">
                  <c:v>991</c:v>
                </c:pt>
                <c:pt idx="7" formatCode="#,##0">
                  <c:v>1077</c:v>
                </c:pt>
                <c:pt idx="8" formatCode="#,##0">
                  <c:v>1089</c:v>
                </c:pt>
                <c:pt idx="9" formatCode="#,##0">
                  <c:v>1119</c:v>
                </c:pt>
                <c:pt idx="10" formatCode="#,##0">
                  <c:v>1133</c:v>
                </c:pt>
                <c:pt idx="11" formatCode="#,##0">
                  <c:v>1169</c:v>
                </c:pt>
                <c:pt idx="12" formatCode="#,##0">
                  <c:v>1172</c:v>
                </c:pt>
                <c:pt idx="13" formatCode="#,##0">
                  <c:v>1226</c:v>
                </c:pt>
                <c:pt idx="14" formatCode="#,##0">
                  <c:v>1314</c:v>
                </c:pt>
                <c:pt idx="15" formatCode="#,##0">
                  <c:v>1431</c:v>
                </c:pt>
                <c:pt idx="16" formatCode="#,##0">
                  <c:v>1525</c:v>
                </c:pt>
                <c:pt idx="17" formatCode="#,##0">
                  <c:v>1617</c:v>
                </c:pt>
                <c:pt idx="18" formatCode="#,##0">
                  <c:v>1657</c:v>
                </c:pt>
                <c:pt idx="19" formatCode="#,##0">
                  <c:v>1792</c:v>
                </c:pt>
                <c:pt idx="20" formatCode="#,##0">
                  <c:v>1888</c:v>
                </c:pt>
                <c:pt idx="21" formatCode="#,##0">
                  <c:v>1925</c:v>
                </c:pt>
                <c:pt idx="22" formatCode="#,##0">
                  <c:v>2000</c:v>
                </c:pt>
                <c:pt idx="23" formatCode="#,##0">
                  <c:v>2152</c:v>
                </c:pt>
              </c:numCache>
            </c:numRef>
          </c:val>
          <c:extLst>
            <c:ext xmlns:c16="http://schemas.microsoft.com/office/drawing/2014/chart" uri="{C3380CC4-5D6E-409C-BE32-E72D297353CC}">
              <c16:uniqueId val="{00000004-3948-4D11-B9FE-E7A7DC43B39A}"/>
            </c:ext>
          </c:extLst>
        </c:ser>
        <c:ser>
          <c:idx val="5"/>
          <c:order val="5"/>
          <c:tx>
            <c:strRef>
              <c:f>Expert!$O$17:$R$17</c:f>
              <c:strCache>
                <c:ptCount val="4"/>
                <c:pt idx="0">
                  <c:v>East</c:v>
                </c:pt>
                <c:pt idx="1">
                  <c:v>Light Sabres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Expert!$S$17:$AP$17</c:f>
              <c:numCache>
                <c:formatCode>General</c:formatCode>
                <c:ptCount val="24"/>
                <c:pt idx="0">
                  <c:v>356</c:v>
                </c:pt>
                <c:pt idx="1">
                  <c:v>369</c:v>
                </c:pt>
                <c:pt idx="2">
                  <c:v>369</c:v>
                </c:pt>
                <c:pt idx="3">
                  <c:v>384</c:v>
                </c:pt>
                <c:pt idx="4">
                  <c:v>400</c:v>
                </c:pt>
                <c:pt idx="5">
                  <c:v>435</c:v>
                </c:pt>
                <c:pt idx="6">
                  <c:v>468</c:v>
                </c:pt>
                <c:pt idx="7">
                  <c:v>499</c:v>
                </c:pt>
                <c:pt idx="8">
                  <c:v>543</c:v>
                </c:pt>
                <c:pt idx="9">
                  <c:v>558</c:v>
                </c:pt>
                <c:pt idx="10">
                  <c:v>607</c:v>
                </c:pt>
                <c:pt idx="11">
                  <c:v>649</c:v>
                </c:pt>
                <c:pt idx="12">
                  <c:v>709</c:v>
                </c:pt>
                <c:pt idx="13">
                  <c:v>745</c:v>
                </c:pt>
                <c:pt idx="14">
                  <c:v>799</c:v>
                </c:pt>
                <c:pt idx="15">
                  <c:v>864</c:v>
                </c:pt>
                <c:pt idx="16">
                  <c:v>897</c:v>
                </c:pt>
                <c:pt idx="17">
                  <c:v>952</c:v>
                </c:pt>
                <c:pt idx="18">
                  <c:v>953</c:v>
                </c:pt>
                <c:pt idx="19" formatCode="#,##0">
                  <c:v>1016</c:v>
                </c:pt>
                <c:pt idx="20" formatCode="#,##0">
                  <c:v>1031</c:v>
                </c:pt>
                <c:pt idx="21" formatCode="#,##0">
                  <c:v>1100</c:v>
                </c:pt>
                <c:pt idx="22" formatCode="#,##0">
                  <c:v>1113</c:v>
                </c:pt>
                <c:pt idx="23" formatCode="#,##0">
                  <c:v>1222</c:v>
                </c:pt>
              </c:numCache>
            </c:numRef>
          </c:val>
          <c:extLst>
            <c:ext xmlns:c16="http://schemas.microsoft.com/office/drawing/2014/chart" uri="{C3380CC4-5D6E-409C-BE32-E72D297353CC}">
              <c16:uniqueId val="{00000005-3948-4D11-B9FE-E7A7DC43B39A}"/>
            </c:ext>
          </c:extLst>
        </c:ser>
        <c:ser>
          <c:idx val="6"/>
          <c:order val="6"/>
          <c:tx>
            <c:strRef>
              <c:f>Expert!$O$18:$R$18</c:f>
              <c:strCache>
                <c:ptCount val="4"/>
                <c:pt idx="0">
                  <c:v>East</c:v>
                </c:pt>
                <c:pt idx="1">
                  <c:v>Light Sabres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Expert!$S$18:$AP$18</c:f>
              <c:numCache>
                <c:formatCode>General</c:formatCode>
                <c:ptCount val="24"/>
                <c:pt idx="0">
                  <c:v>40</c:v>
                </c:pt>
                <c:pt idx="1">
                  <c:v>41</c:v>
                </c:pt>
                <c:pt idx="2">
                  <c:v>43</c:v>
                </c:pt>
                <c:pt idx="3">
                  <c:v>47</c:v>
                </c:pt>
                <c:pt idx="4">
                  <c:v>49</c:v>
                </c:pt>
                <c:pt idx="5">
                  <c:v>53</c:v>
                </c:pt>
                <c:pt idx="6">
                  <c:v>56</c:v>
                </c:pt>
                <c:pt idx="7">
                  <c:v>60</c:v>
                </c:pt>
                <c:pt idx="8">
                  <c:v>63</c:v>
                </c:pt>
                <c:pt idx="9">
                  <c:v>65</c:v>
                </c:pt>
                <c:pt idx="10">
                  <c:v>69</c:v>
                </c:pt>
                <c:pt idx="11">
                  <c:v>74</c:v>
                </c:pt>
                <c:pt idx="12">
                  <c:v>80</c:v>
                </c:pt>
                <c:pt idx="13">
                  <c:v>81</c:v>
                </c:pt>
                <c:pt idx="14">
                  <c:v>88</c:v>
                </c:pt>
                <c:pt idx="15">
                  <c:v>95</c:v>
                </c:pt>
                <c:pt idx="16">
                  <c:v>101</c:v>
                </c:pt>
                <c:pt idx="17">
                  <c:v>105</c:v>
                </c:pt>
                <c:pt idx="18">
                  <c:v>112</c:v>
                </c:pt>
                <c:pt idx="19">
                  <c:v>114</c:v>
                </c:pt>
                <c:pt idx="20">
                  <c:v>124</c:v>
                </c:pt>
                <c:pt idx="21">
                  <c:v>128</c:v>
                </c:pt>
                <c:pt idx="22">
                  <c:v>133</c:v>
                </c:pt>
                <c:pt idx="23">
                  <c:v>139</c:v>
                </c:pt>
              </c:numCache>
            </c:numRef>
          </c:val>
          <c:extLst>
            <c:ext xmlns:c16="http://schemas.microsoft.com/office/drawing/2014/chart" uri="{C3380CC4-5D6E-409C-BE32-E72D297353CC}">
              <c16:uniqueId val="{00000006-3948-4D11-B9FE-E7A7DC43B39A}"/>
            </c:ext>
          </c:extLst>
        </c:ser>
        <c:ser>
          <c:idx val="7"/>
          <c:order val="7"/>
          <c:tx>
            <c:strRef>
              <c:f>Expert!$O$19:$R$19</c:f>
              <c:strCache>
                <c:ptCount val="4"/>
                <c:pt idx="0">
                  <c:v>East</c:v>
                </c:pt>
                <c:pt idx="1">
                  <c:v>Light Sabres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Expert!$S$19:$AP$19</c:f>
              <c:numCache>
                <c:formatCode>General</c:formatCode>
                <c:ptCount val="24"/>
                <c:pt idx="0">
                  <c:v>104</c:v>
                </c:pt>
                <c:pt idx="1">
                  <c:v>110</c:v>
                </c:pt>
                <c:pt idx="2">
                  <c:v>120</c:v>
                </c:pt>
                <c:pt idx="3">
                  <c:v>127</c:v>
                </c:pt>
                <c:pt idx="4">
                  <c:v>130</c:v>
                </c:pt>
                <c:pt idx="5">
                  <c:v>142</c:v>
                </c:pt>
                <c:pt idx="6">
                  <c:v>153</c:v>
                </c:pt>
                <c:pt idx="7">
                  <c:v>159</c:v>
                </c:pt>
                <c:pt idx="8">
                  <c:v>164</c:v>
                </c:pt>
                <c:pt idx="9">
                  <c:v>166</c:v>
                </c:pt>
                <c:pt idx="10">
                  <c:v>182</c:v>
                </c:pt>
                <c:pt idx="11">
                  <c:v>200</c:v>
                </c:pt>
                <c:pt idx="12">
                  <c:v>202</c:v>
                </c:pt>
                <c:pt idx="13">
                  <c:v>213</c:v>
                </c:pt>
                <c:pt idx="14">
                  <c:v>222</c:v>
                </c:pt>
                <c:pt idx="15">
                  <c:v>240</c:v>
                </c:pt>
                <c:pt idx="16">
                  <c:v>253</c:v>
                </c:pt>
                <c:pt idx="17">
                  <c:v>258</c:v>
                </c:pt>
                <c:pt idx="18">
                  <c:v>261</c:v>
                </c:pt>
                <c:pt idx="19">
                  <c:v>281</c:v>
                </c:pt>
                <c:pt idx="20">
                  <c:v>288</c:v>
                </c:pt>
                <c:pt idx="21">
                  <c:v>301</c:v>
                </c:pt>
                <c:pt idx="22">
                  <c:v>317</c:v>
                </c:pt>
                <c:pt idx="23">
                  <c:v>347</c:v>
                </c:pt>
              </c:numCache>
            </c:numRef>
          </c:val>
          <c:extLst>
            <c:ext xmlns:c16="http://schemas.microsoft.com/office/drawing/2014/chart" uri="{C3380CC4-5D6E-409C-BE32-E72D297353CC}">
              <c16:uniqueId val="{00000007-3948-4D11-B9FE-E7A7DC43B39A}"/>
            </c:ext>
          </c:extLst>
        </c:ser>
        <c:ser>
          <c:idx val="8"/>
          <c:order val="8"/>
          <c:tx>
            <c:strRef>
              <c:f>Expert!$O$20:$R$20</c:f>
              <c:strCache>
                <c:ptCount val="4"/>
                <c:pt idx="0">
                  <c:v>East</c:v>
                </c:pt>
                <c:pt idx="1">
                  <c:v>Light Sabres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Expert!$S$20:$AP$20</c:f>
              <c:numCache>
                <c:formatCode>General</c:formatCode>
                <c:ptCount val="24"/>
                <c:pt idx="0">
                  <c:v>336</c:v>
                </c:pt>
                <c:pt idx="1">
                  <c:v>369</c:v>
                </c:pt>
                <c:pt idx="2">
                  <c:v>391</c:v>
                </c:pt>
                <c:pt idx="3">
                  <c:v>427</c:v>
                </c:pt>
                <c:pt idx="4">
                  <c:v>469</c:v>
                </c:pt>
                <c:pt idx="5">
                  <c:v>497</c:v>
                </c:pt>
                <c:pt idx="6">
                  <c:v>543</c:v>
                </c:pt>
                <c:pt idx="7">
                  <c:v>554</c:v>
                </c:pt>
                <c:pt idx="8">
                  <c:v>576</c:v>
                </c:pt>
                <c:pt idx="9">
                  <c:v>623</c:v>
                </c:pt>
                <c:pt idx="10">
                  <c:v>676</c:v>
                </c:pt>
                <c:pt idx="11">
                  <c:v>709</c:v>
                </c:pt>
                <c:pt idx="12">
                  <c:v>734</c:v>
                </c:pt>
                <c:pt idx="13">
                  <c:v>780</c:v>
                </c:pt>
                <c:pt idx="14">
                  <c:v>816</c:v>
                </c:pt>
                <c:pt idx="15">
                  <c:v>857</c:v>
                </c:pt>
                <c:pt idx="16">
                  <c:v>933</c:v>
                </c:pt>
                <c:pt idx="17" formatCode="#,##0">
                  <c:v>1018</c:v>
                </c:pt>
                <c:pt idx="18" formatCode="#,##0">
                  <c:v>1046</c:v>
                </c:pt>
                <c:pt idx="19" formatCode="#,##0">
                  <c:v>1078</c:v>
                </c:pt>
                <c:pt idx="20" formatCode="#,##0">
                  <c:v>1094</c:v>
                </c:pt>
                <c:pt idx="21" formatCode="#,##0">
                  <c:v>1185</c:v>
                </c:pt>
                <c:pt idx="22" formatCode="#,##0">
                  <c:v>1217</c:v>
                </c:pt>
                <c:pt idx="23" formatCode="#,##0">
                  <c:v>1222</c:v>
                </c:pt>
              </c:numCache>
            </c:numRef>
          </c:val>
          <c:extLst>
            <c:ext xmlns:c16="http://schemas.microsoft.com/office/drawing/2014/chart" uri="{C3380CC4-5D6E-409C-BE32-E72D297353CC}">
              <c16:uniqueId val="{00000008-3948-4D11-B9FE-E7A7DC43B39A}"/>
            </c:ext>
          </c:extLst>
        </c:ser>
        <c:ser>
          <c:idx val="9"/>
          <c:order val="9"/>
          <c:tx>
            <c:strRef>
              <c:f>Expert!$O$21:$R$21</c:f>
              <c:strCache>
                <c:ptCount val="4"/>
                <c:pt idx="0">
                  <c:v>East</c:v>
                </c:pt>
                <c:pt idx="1">
                  <c:v>Light Sabres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Expert!$S$21:$AP$21</c:f>
              <c:numCache>
                <c:formatCode>General</c:formatCode>
                <c:ptCount val="24"/>
                <c:pt idx="0">
                  <c:v>310</c:v>
                </c:pt>
                <c:pt idx="1">
                  <c:v>319</c:v>
                </c:pt>
                <c:pt idx="2">
                  <c:v>323</c:v>
                </c:pt>
                <c:pt idx="3">
                  <c:v>335</c:v>
                </c:pt>
                <c:pt idx="4">
                  <c:v>348</c:v>
                </c:pt>
                <c:pt idx="5">
                  <c:v>351</c:v>
                </c:pt>
                <c:pt idx="6">
                  <c:v>371</c:v>
                </c:pt>
                <c:pt idx="7">
                  <c:v>389</c:v>
                </c:pt>
                <c:pt idx="8">
                  <c:v>405</c:v>
                </c:pt>
                <c:pt idx="9">
                  <c:v>442</c:v>
                </c:pt>
                <c:pt idx="10">
                  <c:v>442</c:v>
                </c:pt>
                <c:pt idx="11">
                  <c:v>465</c:v>
                </c:pt>
                <c:pt idx="12">
                  <c:v>480</c:v>
                </c:pt>
                <c:pt idx="13">
                  <c:v>497</c:v>
                </c:pt>
                <c:pt idx="14">
                  <c:v>523</c:v>
                </c:pt>
                <c:pt idx="15">
                  <c:v>562</c:v>
                </c:pt>
                <c:pt idx="16">
                  <c:v>611</c:v>
                </c:pt>
                <c:pt idx="17">
                  <c:v>620</c:v>
                </c:pt>
                <c:pt idx="18">
                  <c:v>655</c:v>
                </c:pt>
                <c:pt idx="19">
                  <c:v>716</c:v>
                </c:pt>
                <c:pt idx="20">
                  <c:v>721</c:v>
                </c:pt>
                <c:pt idx="21">
                  <c:v>753</c:v>
                </c:pt>
                <c:pt idx="22">
                  <c:v>780</c:v>
                </c:pt>
                <c:pt idx="23">
                  <c:v>853</c:v>
                </c:pt>
              </c:numCache>
            </c:numRef>
          </c:val>
          <c:extLst>
            <c:ext xmlns:c16="http://schemas.microsoft.com/office/drawing/2014/chart" uri="{C3380CC4-5D6E-409C-BE32-E72D297353CC}">
              <c16:uniqueId val="{00000009-3948-4D11-B9FE-E7A7DC43B39A}"/>
            </c:ext>
          </c:extLst>
        </c:ser>
        <c:ser>
          <c:idx val="10"/>
          <c:order val="10"/>
          <c:tx>
            <c:strRef>
              <c:f>Expert!$O$22:$R$22</c:f>
              <c:strCache>
                <c:ptCount val="4"/>
                <c:pt idx="0">
                  <c:v>East</c:v>
                </c:pt>
                <c:pt idx="1">
                  <c:v>Light Sabres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Expert!$S$22:$AP$22</c:f>
              <c:numCache>
                <c:formatCode>General</c:formatCode>
                <c:ptCount val="24"/>
                <c:pt idx="0">
                  <c:v>727</c:v>
                </c:pt>
                <c:pt idx="1">
                  <c:v>742</c:v>
                </c:pt>
                <c:pt idx="2">
                  <c:v>798</c:v>
                </c:pt>
                <c:pt idx="3">
                  <c:v>866</c:v>
                </c:pt>
                <c:pt idx="4">
                  <c:v>882</c:v>
                </c:pt>
                <c:pt idx="5">
                  <c:v>930</c:v>
                </c:pt>
                <c:pt idx="6" formatCode="#,##0">
                  <c:v>1002</c:v>
                </c:pt>
                <c:pt idx="7" formatCode="#,##0">
                  <c:v>1029</c:v>
                </c:pt>
                <c:pt idx="8" formatCode="#,##0">
                  <c:v>1104</c:v>
                </c:pt>
                <c:pt idx="9" formatCode="#,##0">
                  <c:v>1204</c:v>
                </c:pt>
                <c:pt idx="10" formatCode="#,##0">
                  <c:v>1293</c:v>
                </c:pt>
                <c:pt idx="11" formatCode="#,##0">
                  <c:v>1315</c:v>
                </c:pt>
                <c:pt idx="12" formatCode="#,##0">
                  <c:v>1442</c:v>
                </c:pt>
                <c:pt idx="13" formatCode="#,##0">
                  <c:v>1552</c:v>
                </c:pt>
                <c:pt idx="14" formatCode="#,##0">
                  <c:v>1572</c:v>
                </c:pt>
                <c:pt idx="15" formatCode="#,##0">
                  <c:v>1699</c:v>
                </c:pt>
                <c:pt idx="16" formatCode="#,##0">
                  <c:v>1805</c:v>
                </c:pt>
                <c:pt idx="17" formatCode="#,##0">
                  <c:v>1937</c:v>
                </c:pt>
                <c:pt idx="18" formatCode="#,##0">
                  <c:v>2069</c:v>
                </c:pt>
                <c:pt idx="19" formatCode="#,##0">
                  <c:v>2098</c:v>
                </c:pt>
                <c:pt idx="20" formatCode="#,##0">
                  <c:v>2106</c:v>
                </c:pt>
                <c:pt idx="21" formatCode="#,##0">
                  <c:v>2133</c:v>
                </c:pt>
                <c:pt idx="22" formatCode="#,##0">
                  <c:v>2289</c:v>
                </c:pt>
                <c:pt idx="23" formatCode="#,##0">
                  <c:v>2385</c:v>
                </c:pt>
              </c:numCache>
            </c:numRef>
          </c:val>
          <c:extLst>
            <c:ext xmlns:c16="http://schemas.microsoft.com/office/drawing/2014/chart" uri="{C3380CC4-5D6E-409C-BE32-E72D297353CC}">
              <c16:uniqueId val="{0000000A-3948-4D11-B9FE-E7A7DC43B39A}"/>
            </c:ext>
          </c:extLst>
        </c:ser>
        <c:ser>
          <c:idx val="11"/>
          <c:order val="11"/>
          <c:tx>
            <c:strRef>
              <c:f>Expert!$O$23:$R$23</c:f>
              <c:strCache>
                <c:ptCount val="4"/>
                <c:pt idx="0">
                  <c:v>East</c:v>
                </c:pt>
                <c:pt idx="1">
                  <c:v>Light Sabres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Expert!$S$23:$AP$23</c:f>
              <c:numCache>
                <c:formatCode>General</c:formatCode>
                <c:ptCount val="24"/>
                <c:pt idx="0">
                  <c:v>466</c:v>
                </c:pt>
                <c:pt idx="1">
                  <c:v>479</c:v>
                </c:pt>
                <c:pt idx="2">
                  <c:v>480</c:v>
                </c:pt>
                <c:pt idx="3">
                  <c:v>523</c:v>
                </c:pt>
                <c:pt idx="4">
                  <c:v>561</c:v>
                </c:pt>
                <c:pt idx="5">
                  <c:v>591</c:v>
                </c:pt>
                <c:pt idx="6">
                  <c:v>604</c:v>
                </c:pt>
                <c:pt idx="7">
                  <c:v>635</c:v>
                </c:pt>
                <c:pt idx="8">
                  <c:v>644</c:v>
                </c:pt>
                <c:pt idx="9">
                  <c:v>654</c:v>
                </c:pt>
                <c:pt idx="10">
                  <c:v>684</c:v>
                </c:pt>
                <c:pt idx="11">
                  <c:v>739</c:v>
                </c:pt>
                <c:pt idx="12">
                  <c:v>758</c:v>
                </c:pt>
                <c:pt idx="13">
                  <c:v>782</c:v>
                </c:pt>
                <c:pt idx="14">
                  <c:v>792</c:v>
                </c:pt>
                <c:pt idx="15">
                  <c:v>809</c:v>
                </c:pt>
                <c:pt idx="16">
                  <c:v>856</c:v>
                </c:pt>
                <c:pt idx="17">
                  <c:v>885</c:v>
                </c:pt>
                <c:pt idx="18">
                  <c:v>954</c:v>
                </c:pt>
                <c:pt idx="19" formatCode="#,##0">
                  <c:v>1039</c:v>
                </c:pt>
                <c:pt idx="20" formatCode="#,##0">
                  <c:v>1123</c:v>
                </c:pt>
                <c:pt idx="21" formatCode="#,##0">
                  <c:v>1149</c:v>
                </c:pt>
                <c:pt idx="22" formatCode="#,##0">
                  <c:v>1176</c:v>
                </c:pt>
                <c:pt idx="23" formatCode="#,##0">
                  <c:v>1223</c:v>
                </c:pt>
              </c:numCache>
            </c:numRef>
          </c:val>
          <c:extLst>
            <c:ext xmlns:c16="http://schemas.microsoft.com/office/drawing/2014/chart" uri="{C3380CC4-5D6E-409C-BE32-E72D297353CC}">
              <c16:uniqueId val="{0000000B-3948-4D11-B9FE-E7A7DC43B39A}"/>
            </c:ext>
          </c:extLst>
        </c:ser>
        <c:ser>
          <c:idx val="12"/>
          <c:order val="12"/>
          <c:tx>
            <c:strRef>
              <c:f>Expert!$O$24:$R$24</c:f>
              <c:strCache>
                <c:ptCount val="4"/>
                <c:pt idx="0">
                  <c:v>East</c:v>
                </c:pt>
                <c:pt idx="1">
                  <c:v>Transponders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Expert!$S$24:$AP$24</c:f>
              <c:numCache>
                <c:formatCode>General</c:formatCode>
                <c:ptCount val="24"/>
                <c:pt idx="0">
                  <c:v>114</c:v>
                </c:pt>
                <c:pt idx="1">
                  <c:v>124</c:v>
                </c:pt>
                <c:pt idx="2">
                  <c:v>130</c:v>
                </c:pt>
                <c:pt idx="3">
                  <c:v>133</c:v>
                </c:pt>
                <c:pt idx="4">
                  <c:v>138</c:v>
                </c:pt>
                <c:pt idx="5">
                  <c:v>148</c:v>
                </c:pt>
                <c:pt idx="6">
                  <c:v>157</c:v>
                </c:pt>
                <c:pt idx="7">
                  <c:v>168</c:v>
                </c:pt>
                <c:pt idx="8">
                  <c:v>181</c:v>
                </c:pt>
                <c:pt idx="9">
                  <c:v>198</c:v>
                </c:pt>
                <c:pt idx="10">
                  <c:v>206</c:v>
                </c:pt>
                <c:pt idx="11">
                  <c:v>224</c:v>
                </c:pt>
                <c:pt idx="12">
                  <c:v>246</c:v>
                </c:pt>
                <c:pt idx="13">
                  <c:v>257</c:v>
                </c:pt>
                <c:pt idx="14">
                  <c:v>270</c:v>
                </c:pt>
                <c:pt idx="15">
                  <c:v>289</c:v>
                </c:pt>
                <c:pt idx="16">
                  <c:v>310</c:v>
                </c:pt>
                <c:pt idx="17">
                  <c:v>314</c:v>
                </c:pt>
                <c:pt idx="18">
                  <c:v>333</c:v>
                </c:pt>
                <c:pt idx="19">
                  <c:v>344</c:v>
                </c:pt>
                <c:pt idx="20">
                  <c:v>345</c:v>
                </c:pt>
                <c:pt idx="21">
                  <c:v>377</c:v>
                </c:pt>
                <c:pt idx="22">
                  <c:v>414</c:v>
                </c:pt>
                <c:pt idx="23">
                  <c:v>419</c:v>
                </c:pt>
              </c:numCache>
            </c:numRef>
          </c:val>
          <c:extLst>
            <c:ext xmlns:c16="http://schemas.microsoft.com/office/drawing/2014/chart" uri="{C3380CC4-5D6E-409C-BE32-E72D297353CC}">
              <c16:uniqueId val="{0000000C-3948-4D11-B9FE-E7A7DC43B39A}"/>
            </c:ext>
          </c:extLst>
        </c:ser>
        <c:ser>
          <c:idx val="13"/>
          <c:order val="13"/>
          <c:tx>
            <c:strRef>
              <c:f>Expert!$O$25:$R$25</c:f>
              <c:strCache>
                <c:ptCount val="4"/>
                <c:pt idx="0">
                  <c:v>East</c:v>
                </c:pt>
                <c:pt idx="1">
                  <c:v>Transponders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Expert!$S$25:$AP$25</c:f>
              <c:numCache>
                <c:formatCode>General</c:formatCode>
                <c:ptCount val="24"/>
                <c:pt idx="0">
                  <c:v>801</c:v>
                </c:pt>
                <c:pt idx="1">
                  <c:v>826</c:v>
                </c:pt>
                <c:pt idx="2">
                  <c:v>887</c:v>
                </c:pt>
                <c:pt idx="3">
                  <c:v>976</c:v>
                </c:pt>
                <c:pt idx="4" formatCode="#,##0">
                  <c:v>1011</c:v>
                </c:pt>
                <c:pt idx="5" formatCode="#,##0">
                  <c:v>1097</c:v>
                </c:pt>
                <c:pt idx="6" formatCode="#,##0">
                  <c:v>1191</c:v>
                </c:pt>
                <c:pt idx="7" formatCode="#,##0">
                  <c:v>1255</c:v>
                </c:pt>
                <c:pt idx="8" formatCode="#,##0">
                  <c:v>1298</c:v>
                </c:pt>
                <c:pt idx="9" formatCode="#,##0">
                  <c:v>1357</c:v>
                </c:pt>
                <c:pt idx="10" formatCode="#,##0">
                  <c:v>1481</c:v>
                </c:pt>
                <c:pt idx="11" formatCode="#,##0">
                  <c:v>1559</c:v>
                </c:pt>
                <c:pt idx="12" formatCode="#,##0">
                  <c:v>1568</c:v>
                </c:pt>
                <c:pt idx="13" formatCode="#,##0">
                  <c:v>1610</c:v>
                </c:pt>
                <c:pt idx="14" formatCode="#,##0">
                  <c:v>1671</c:v>
                </c:pt>
                <c:pt idx="15" formatCode="#,##0">
                  <c:v>1784</c:v>
                </c:pt>
                <c:pt idx="16" formatCode="#,##0">
                  <c:v>1936</c:v>
                </c:pt>
                <c:pt idx="17" formatCode="#,##0">
                  <c:v>2128</c:v>
                </c:pt>
                <c:pt idx="18" formatCode="#,##0">
                  <c:v>2199</c:v>
                </c:pt>
                <c:pt idx="19" formatCode="#,##0">
                  <c:v>2338</c:v>
                </c:pt>
                <c:pt idx="20" formatCode="#,##0">
                  <c:v>2551</c:v>
                </c:pt>
                <c:pt idx="21" formatCode="#,##0">
                  <c:v>2726</c:v>
                </c:pt>
                <c:pt idx="22" formatCode="#,##0">
                  <c:v>2994</c:v>
                </c:pt>
                <c:pt idx="23" formatCode="#,##0">
                  <c:v>3293</c:v>
                </c:pt>
              </c:numCache>
            </c:numRef>
          </c:val>
          <c:extLst>
            <c:ext xmlns:c16="http://schemas.microsoft.com/office/drawing/2014/chart" uri="{C3380CC4-5D6E-409C-BE32-E72D297353CC}">
              <c16:uniqueId val="{0000000D-3948-4D11-B9FE-E7A7DC43B39A}"/>
            </c:ext>
          </c:extLst>
        </c:ser>
        <c:ser>
          <c:idx val="14"/>
          <c:order val="14"/>
          <c:tx>
            <c:strRef>
              <c:f>Expert!$O$26:$R$26</c:f>
              <c:strCache>
                <c:ptCount val="4"/>
                <c:pt idx="0">
                  <c:v>East</c:v>
                </c:pt>
                <c:pt idx="1">
                  <c:v>Transponders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Expert!$S$26:$AP$26</c:f>
              <c:numCache>
                <c:formatCode>General</c:formatCode>
                <c:ptCount val="24"/>
                <c:pt idx="0">
                  <c:v>912</c:v>
                </c:pt>
                <c:pt idx="1">
                  <c:v>940</c:v>
                </c:pt>
                <c:pt idx="2">
                  <c:v>965</c:v>
                </c:pt>
                <c:pt idx="3" formatCode="#,##0">
                  <c:v>1052</c:v>
                </c:pt>
                <c:pt idx="4" formatCode="#,##0">
                  <c:v>1122</c:v>
                </c:pt>
                <c:pt idx="5" formatCode="#,##0">
                  <c:v>1164</c:v>
                </c:pt>
                <c:pt idx="6" formatCode="#,##0">
                  <c:v>1257</c:v>
                </c:pt>
                <c:pt idx="7" formatCode="#,##0">
                  <c:v>1320</c:v>
                </c:pt>
                <c:pt idx="8" formatCode="#,##0">
                  <c:v>1401</c:v>
                </c:pt>
                <c:pt idx="9" formatCode="#,##0">
                  <c:v>1475</c:v>
                </c:pt>
                <c:pt idx="10" formatCode="#,##0">
                  <c:v>1598</c:v>
                </c:pt>
                <c:pt idx="11" formatCode="#,##0">
                  <c:v>1609</c:v>
                </c:pt>
                <c:pt idx="12" formatCode="#,##0">
                  <c:v>1684</c:v>
                </c:pt>
                <c:pt idx="13" formatCode="#,##0">
                  <c:v>1833</c:v>
                </c:pt>
                <c:pt idx="14" formatCode="#,##0">
                  <c:v>1915</c:v>
                </c:pt>
                <c:pt idx="15" formatCode="#,##0">
                  <c:v>1978</c:v>
                </c:pt>
                <c:pt idx="16" formatCode="#,##0">
                  <c:v>2031</c:v>
                </c:pt>
                <c:pt idx="17" formatCode="#,##0">
                  <c:v>2092</c:v>
                </c:pt>
                <c:pt idx="18" formatCode="#,##0">
                  <c:v>2301</c:v>
                </c:pt>
                <c:pt idx="19" formatCode="#,##0">
                  <c:v>2333</c:v>
                </c:pt>
                <c:pt idx="20" formatCode="#,##0">
                  <c:v>2442</c:v>
                </c:pt>
                <c:pt idx="21" formatCode="#,##0">
                  <c:v>2443</c:v>
                </c:pt>
                <c:pt idx="22" formatCode="#,##0">
                  <c:v>2558</c:v>
                </c:pt>
                <c:pt idx="23" formatCode="#,##0">
                  <c:v>2762</c:v>
                </c:pt>
              </c:numCache>
            </c:numRef>
          </c:val>
          <c:extLst>
            <c:ext xmlns:c16="http://schemas.microsoft.com/office/drawing/2014/chart" uri="{C3380CC4-5D6E-409C-BE32-E72D297353CC}">
              <c16:uniqueId val="{0000000E-3948-4D11-B9FE-E7A7DC43B39A}"/>
            </c:ext>
          </c:extLst>
        </c:ser>
        <c:ser>
          <c:idx val="15"/>
          <c:order val="15"/>
          <c:tx>
            <c:strRef>
              <c:f>Expert!$O$27:$R$27</c:f>
              <c:strCache>
                <c:ptCount val="4"/>
                <c:pt idx="0">
                  <c:v>East</c:v>
                </c:pt>
                <c:pt idx="1">
                  <c:v>Transponders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Expert!$S$27:$AP$27</c:f>
              <c:numCache>
                <c:formatCode>General</c:formatCode>
                <c:ptCount val="24"/>
                <c:pt idx="0">
                  <c:v>847</c:v>
                </c:pt>
                <c:pt idx="1">
                  <c:v>878</c:v>
                </c:pt>
                <c:pt idx="2">
                  <c:v>962</c:v>
                </c:pt>
                <c:pt idx="3" formatCode="#,##0">
                  <c:v>1004</c:v>
                </c:pt>
                <c:pt idx="4" formatCode="#,##0">
                  <c:v>1075</c:v>
                </c:pt>
                <c:pt idx="5" formatCode="#,##0">
                  <c:v>1174</c:v>
                </c:pt>
                <c:pt idx="6" formatCode="#,##0">
                  <c:v>1283</c:v>
                </c:pt>
                <c:pt idx="7" formatCode="#,##0">
                  <c:v>1357</c:v>
                </c:pt>
                <c:pt idx="8" formatCode="#,##0">
                  <c:v>1377</c:v>
                </c:pt>
                <c:pt idx="9" formatCode="#,##0">
                  <c:v>1422</c:v>
                </c:pt>
                <c:pt idx="10" formatCode="#,##0">
                  <c:v>1548</c:v>
                </c:pt>
                <c:pt idx="11" formatCode="#,##0">
                  <c:v>1699</c:v>
                </c:pt>
                <c:pt idx="12" formatCode="#,##0">
                  <c:v>1745</c:v>
                </c:pt>
                <c:pt idx="13" formatCode="#,##0">
                  <c:v>1773</c:v>
                </c:pt>
                <c:pt idx="14" formatCode="#,##0">
                  <c:v>1950</c:v>
                </c:pt>
                <c:pt idx="15" formatCode="#,##0">
                  <c:v>2028</c:v>
                </c:pt>
                <c:pt idx="16" formatCode="#,##0">
                  <c:v>2176</c:v>
                </c:pt>
                <c:pt idx="17" formatCode="#,##0">
                  <c:v>2306</c:v>
                </c:pt>
                <c:pt idx="18" formatCode="#,##0">
                  <c:v>2316</c:v>
                </c:pt>
                <c:pt idx="19" formatCode="#,##0">
                  <c:v>2419</c:v>
                </c:pt>
                <c:pt idx="20" formatCode="#,##0">
                  <c:v>2539</c:v>
                </c:pt>
                <c:pt idx="21" formatCode="#,##0">
                  <c:v>2700</c:v>
                </c:pt>
                <c:pt idx="22" formatCode="#,##0">
                  <c:v>2968</c:v>
                </c:pt>
                <c:pt idx="23" formatCode="#,##0">
                  <c:v>3125</c:v>
                </c:pt>
              </c:numCache>
            </c:numRef>
          </c:val>
          <c:extLst>
            <c:ext xmlns:c16="http://schemas.microsoft.com/office/drawing/2014/chart" uri="{C3380CC4-5D6E-409C-BE32-E72D297353CC}">
              <c16:uniqueId val="{0000000F-3948-4D11-B9FE-E7A7DC43B39A}"/>
            </c:ext>
          </c:extLst>
        </c:ser>
        <c:ser>
          <c:idx val="16"/>
          <c:order val="16"/>
          <c:tx>
            <c:strRef>
              <c:f>Expert!$O$28:$R$28</c:f>
              <c:strCache>
                <c:ptCount val="4"/>
                <c:pt idx="0">
                  <c:v>East</c:v>
                </c:pt>
                <c:pt idx="1">
                  <c:v>Transponders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Expert!$S$28:$AP$28</c:f>
              <c:numCache>
                <c:formatCode>General</c:formatCode>
                <c:ptCount val="24"/>
                <c:pt idx="0">
                  <c:v>725</c:v>
                </c:pt>
                <c:pt idx="1">
                  <c:v>727</c:v>
                </c:pt>
                <c:pt idx="2">
                  <c:v>736</c:v>
                </c:pt>
                <c:pt idx="3">
                  <c:v>768</c:v>
                </c:pt>
                <c:pt idx="4">
                  <c:v>786</c:v>
                </c:pt>
                <c:pt idx="5">
                  <c:v>832</c:v>
                </c:pt>
                <c:pt idx="6">
                  <c:v>860</c:v>
                </c:pt>
                <c:pt idx="7">
                  <c:v>903</c:v>
                </c:pt>
                <c:pt idx="8">
                  <c:v>939</c:v>
                </c:pt>
                <c:pt idx="9">
                  <c:v>976</c:v>
                </c:pt>
                <c:pt idx="10">
                  <c:v>981</c:v>
                </c:pt>
                <c:pt idx="11" formatCode="#,##0">
                  <c:v>1032</c:v>
                </c:pt>
                <c:pt idx="12" formatCode="#,##0">
                  <c:v>1120</c:v>
                </c:pt>
                <c:pt idx="13" formatCode="#,##0">
                  <c:v>1134</c:v>
                </c:pt>
                <c:pt idx="14" formatCode="#,##0">
                  <c:v>1194</c:v>
                </c:pt>
                <c:pt idx="15" formatCode="#,##0">
                  <c:v>1233</c:v>
                </c:pt>
                <c:pt idx="16" formatCode="#,##0">
                  <c:v>1286</c:v>
                </c:pt>
                <c:pt idx="17" formatCode="#,##0">
                  <c:v>1366</c:v>
                </c:pt>
                <c:pt idx="18" formatCode="#,##0">
                  <c:v>1440</c:v>
                </c:pt>
                <c:pt idx="19" formatCode="#,##0">
                  <c:v>1581</c:v>
                </c:pt>
                <c:pt idx="20" formatCode="#,##0">
                  <c:v>1693</c:v>
                </c:pt>
                <c:pt idx="21" formatCode="#,##0">
                  <c:v>1827</c:v>
                </c:pt>
                <c:pt idx="22" formatCode="#,##0">
                  <c:v>1838</c:v>
                </c:pt>
                <c:pt idx="23" formatCode="#,##0">
                  <c:v>2006</c:v>
                </c:pt>
              </c:numCache>
            </c:numRef>
          </c:val>
          <c:extLst>
            <c:ext xmlns:c16="http://schemas.microsoft.com/office/drawing/2014/chart" uri="{C3380CC4-5D6E-409C-BE32-E72D297353CC}">
              <c16:uniqueId val="{00000010-3948-4D11-B9FE-E7A7DC43B39A}"/>
            </c:ext>
          </c:extLst>
        </c:ser>
        <c:ser>
          <c:idx val="17"/>
          <c:order val="17"/>
          <c:tx>
            <c:strRef>
              <c:f>Expert!$O$29:$R$29</c:f>
              <c:strCache>
                <c:ptCount val="4"/>
                <c:pt idx="0">
                  <c:v>East</c:v>
                </c:pt>
                <c:pt idx="1">
                  <c:v>Transponders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Expert!$S$29:$AP$29</c:f>
              <c:numCache>
                <c:formatCode>General</c:formatCode>
                <c:ptCount val="24"/>
                <c:pt idx="0">
                  <c:v>65</c:v>
                </c:pt>
                <c:pt idx="1">
                  <c:v>69</c:v>
                </c:pt>
                <c:pt idx="2">
                  <c:v>76</c:v>
                </c:pt>
                <c:pt idx="3">
                  <c:v>79</c:v>
                </c:pt>
                <c:pt idx="4">
                  <c:v>87</c:v>
                </c:pt>
                <c:pt idx="5">
                  <c:v>95</c:v>
                </c:pt>
                <c:pt idx="6">
                  <c:v>97</c:v>
                </c:pt>
                <c:pt idx="7">
                  <c:v>100</c:v>
                </c:pt>
                <c:pt idx="8">
                  <c:v>109</c:v>
                </c:pt>
                <c:pt idx="9">
                  <c:v>111</c:v>
                </c:pt>
                <c:pt idx="10">
                  <c:v>113</c:v>
                </c:pt>
                <c:pt idx="11">
                  <c:v>116</c:v>
                </c:pt>
                <c:pt idx="12">
                  <c:v>117</c:v>
                </c:pt>
                <c:pt idx="13">
                  <c:v>126</c:v>
                </c:pt>
                <c:pt idx="14">
                  <c:v>127</c:v>
                </c:pt>
                <c:pt idx="15">
                  <c:v>129</c:v>
                </c:pt>
                <c:pt idx="16">
                  <c:v>133</c:v>
                </c:pt>
                <c:pt idx="17">
                  <c:v>136</c:v>
                </c:pt>
                <c:pt idx="18">
                  <c:v>141</c:v>
                </c:pt>
                <c:pt idx="19">
                  <c:v>149</c:v>
                </c:pt>
                <c:pt idx="20">
                  <c:v>154</c:v>
                </c:pt>
                <c:pt idx="21">
                  <c:v>170</c:v>
                </c:pt>
                <c:pt idx="22">
                  <c:v>186</c:v>
                </c:pt>
                <c:pt idx="23">
                  <c:v>193</c:v>
                </c:pt>
              </c:numCache>
            </c:numRef>
          </c:val>
          <c:extLst>
            <c:ext xmlns:c16="http://schemas.microsoft.com/office/drawing/2014/chart" uri="{C3380CC4-5D6E-409C-BE32-E72D297353CC}">
              <c16:uniqueId val="{00000011-3948-4D11-B9FE-E7A7DC43B39A}"/>
            </c:ext>
          </c:extLst>
        </c:ser>
        <c:ser>
          <c:idx val="18"/>
          <c:order val="18"/>
          <c:tx>
            <c:strRef>
              <c:f>Expert!$O$30:$R$30</c:f>
              <c:strCache>
                <c:ptCount val="4"/>
                <c:pt idx="0">
                  <c:v>East</c:v>
                </c:pt>
                <c:pt idx="1">
                  <c:v>Transponders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Expert!$S$30:$AP$30</c:f>
              <c:numCache>
                <c:formatCode>General</c:formatCode>
                <c:ptCount val="24"/>
                <c:pt idx="0">
                  <c:v>872</c:v>
                </c:pt>
                <c:pt idx="1">
                  <c:v>898</c:v>
                </c:pt>
                <c:pt idx="2">
                  <c:v>956</c:v>
                </c:pt>
                <c:pt idx="3" formatCode="#,##0">
                  <c:v>1027</c:v>
                </c:pt>
                <c:pt idx="4" formatCode="#,##0">
                  <c:v>1112</c:v>
                </c:pt>
                <c:pt idx="5" formatCode="#,##0">
                  <c:v>1209</c:v>
                </c:pt>
                <c:pt idx="6" formatCode="#,##0">
                  <c:v>1283</c:v>
                </c:pt>
                <c:pt idx="7" formatCode="#,##0">
                  <c:v>1346</c:v>
                </c:pt>
                <c:pt idx="8" formatCode="#,##0">
                  <c:v>1356</c:v>
                </c:pt>
                <c:pt idx="9" formatCode="#,##0">
                  <c:v>1463</c:v>
                </c:pt>
                <c:pt idx="10" formatCode="#,##0">
                  <c:v>1544</c:v>
                </c:pt>
                <c:pt idx="11" formatCode="#,##0">
                  <c:v>1620</c:v>
                </c:pt>
                <c:pt idx="12" formatCode="#,##0">
                  <c:v>1754</c:v>
                </c:pt>
                <c:pt idx="13" formatCode="#,##0">
                  <c:v>1817</c:v>
                </c:pt>
                <c:pt idx="14" formatCode="#,##0">
                  <c:v>1835</c:v>
                </c:pt>
                <c:pt idx="15" formatCode="#,##0">
                  <c:v>2018</c:v>
                </c:pt>
                <c:pt idx="16" formatCode="#,##0">
                  <c:v>2149</c:v>
                </c:pt>
                <c:pt idx="17" formatCode="#,##0">
                  <c:v>2273</c:v>
                </c:pt>
                <c:pt idx="18" formatCode="#,##0">
                  <c:v>2483</c:v>
                </c:pt>
                <c:pt idx="19" formatCode="#,##0">
                  <c:v>2559</c:v>
                </c:pt>
                <c:pt idx="20" formatCode="#,##0">
                  <c:v>2725</c:v>
                </c:pt>
                <c:pt idx="21" formatCode="#,##0">
                  <c:v>2863</c:v>
                </c:pt>
                <c:pt idx="22" formatCode="#,##0">
                  <c:v>3112</c:v>
                </c:pt>
                <c:pt idx="23" formatCode="#,##0">
                  <c:v>3270</c:v>
                </c:pt>
              </c:numCache>
            </c:numRef>
          </c:val>
          <c:extLst>
            <c:ext xmlns:c16="http://schemas.microsoft.com/office/drawing/2014/chart" uri="{C3380CC4-5D6E-409C-BE32-E72D297353CC}">
              <c16:uniqueId val="{00000012-3948-4D11-B9FE-E7A7DC43B39A}"/>
            </c:ext>
          </c:extLst>
        </c:ser>
        <c:ser>
          <c:idx val="19"/>
          <c:order val="19"/>
          <c:tx>
            <c:strRef>
              <c:f>Expert!$O$31:$R$31</c:f>
              <c:strCache>
                <c:ptCount val="4"/>
                <c:pt idx="0">
                  <c:v>East</c:v>
                </c:pt>
                <c:pt idx="1">
                  <c:v>Transponders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Expert!$S$31:$AP$31</c:f>
              <c:numCache>
                <c:formatCode>General</c:formatCode>
                <c:ptCount val="24"/>
                <c:pt idx="0">
                  <c:v>321</c:v>
                </c:pt>
                <c:pt idx="1">
                  <c:v>328</c:v>
                </c:pt>
                <c:pt idx="2">
                  <c:v>359</c:v>
                </c:pt>
                <c:pt idx="3">
                  <c:v>369</c:v>
                </c:pt>
                <c:pt idx="4">
                  <c:v>384</c:v>
                </c:pt>
                <c:pt idx="5">
                  <c:v>395</c:v>
                </c:pt>
                <c:pt idx="6">
                  <c:v>420</c:v>
                </c:pt>
                <c:pt idx="7">
                  <c:v>433</c:v>
                </c:pt>
                <c:pt idx="8">
                  <c:v>439</c:v>
                </c:pt>
                <c:pt idx="9">
                  <c:v>455</c:v>
                </c:pt>
                <c:pt idx="10">
                  <c:v>476</c:v>
                </c:pt>
                <c:pt idx="11">
                  <c:v>522</c:v>
                </c:pt>
                <c:pt idx="12">
                  <c:v>535</c:v>
                </c:pt>
                <c:pt idx="13">
                  <c:v>547</c:v>
                </c:pt>
                <c:pt idx="14">
                  <c:v>560</c:v>
                </c:pt>
                <c:pt idx="15">
                  <c:v>575</c:v>
                </c:pt>
                <c:pt idx="16">
                  <c:v>597</c:v>
                </c:pt>
                <c:pt idx="17">
                  <c:v>617</c:v>
                </c:pt>
                <c:pt idx="18">
                  <c:v>644</c:v>
                </c:pt>
                <c:pt idx="19">
                  <c:v>698</c:v>
                </c:pt>
                <c:pt idx="20">
                  <c:v>743</c:v>
                </c:pt>
                <c:pt idx="21">
                  <c:v>797</c:v>
                </c:pt>
                <c:pt idx="22">
                  <c:v>808</c:v>
                </c:pt>
                <c:pt idx="23">
                  <c:v>864</c:v>
                </c:pt>
              </c:numCache>
            </c:numRef>
          </c:val>
          <c:extLst>
            <c:ext xmlns:c16="http://schemas.microsoft.com/office/drawing/2014/chart" uri="{C3380CC4-5D6E-409C-BE32-E72D297353CC}">
              <c16:uniqueId val="{00000013-3948-4D11-B9FE-E7A7DC43B39A}"/>
            </c:ext>
          </c:extLst>
        </c:ser>
        <c:ser>
          <c:idx val="20"/>
          <c:order val="20"/>
          <c:tx>
            <c:strRef>
              <c:f>Expert!$O$32:$R$32</c:f>
              <c:strCache>
                <c:ptCount val="4"/>
                <c:pt idx="0">
                  <c:v>East</c:v>
                </c:pt>
                <c:pt idx="1">
                  <c:v>Transponders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Expert!$S$32:$AP$32</c:f>
              <c:numCache>
                <c:formatCode>General</c:formatCode>
                <c:ptCount val="24"/>
                <c:pt idx="0">
                  <c:v>735</c:v>
                </c:pt>
                <c:pt idx="1">
                  <c:v>735</c:v>
                </c:pt>
                <c:pt idx="2">
                  <c:v>771</c:v>
                </c:pt>
                <c:pt idx="3">
                  <c:v>790</c:v>
                </c:pt>
                <c:pt idx="4">
                  <c:v>798</c:v>
                </c:pt>
                <c:pt idx="5">
                  <c:v>815</c:v>
                </c:pt>
                <c:pt idx="6">
                  <c:v>878</c:v>
                </c:pt>
                <c:pt idx="7">
                  <c:v>927</c:v>
                </c:pt>
                <c:pt idx="8" formatCode="#,##0">
                  <c:v>1013</c:v>
                </c:pt>
                <c:pt idx="9" formatCode="#,##0">
                  <c:v>1020</c:v>
                </c:pt>
                <c:pt idx="10" formatCode="#,##0">
                  <c:v>1109</c:v>
                </c:pt>
                <c:pt idx="11" formatCode="#,##0">
                  <c:v>1146</c:v>
                </c:pt>
                <c:pt idx="12" formatCode="#,##0">
                  <c:v>1158</c:v>
                </c:pt>
                <c:pt idx="13" formatCode="#,##0">
                  <c:v>1268</c:v>
                </c:pt>
                <c:pt idx="14" formatCode="#,##0">
                  <c:v>1317</c:v>
                </c:pt>
                <c:pt idx="15" formatCode="#,##0">
                  <c:v>1379</c:v>
                </c:pt>
                <c:pt idx="16" formatCode="#,##0">
                  <c:v>1436</c:v>
                </c:pt>
                <c:pt idx="17" formatCode="#,##0">
                  <c:v>1466</c:v>
                </c:pt>
                <c:pt idx="18" formatCode="#,##0">
                  <c:v>1544</c:v>
                </c:pt>
                <c:pt idx="19" formatCode="#,##0">
                  <c:v>1631</c:v>
                </c:pt>
                <c:pt idx="20" formatCode="#,##0">
                  <c:v>1784</c:v>
                </c:pt>
                <c:pt idx="21" formatCode="#,##0">
                  <c:v>1892</c:v>
                </c:pt>
                <c:pt idx="22" formatCode="#,##0">
                  <c:v>1905</c:v>
                </c:pt>
                <c:pt idx="23" formatCode="#,##0">
                  <c:v>1977</c:v>
                </c:pt>
              </c:numCache>
            </c:numRef>
          </c:val>
          <c:extLst>
            <c:ext xmlns:c16="http://schemas.microsoft.com/office/drawing/2014/chart" uri="{C3380CC4-5D6E-409C-BE32-E72D297353CC}">
              <c16:uniqueId val="{00000014-3948-4D11-B9FE-E7A7DC43B39A}"/>
            </c:ext>
          </c:extLst>
        </c:ser>
        <c:ser>
          <c:idx val="21"/>
          <c:order val="21"/>
          <c:tx>
            <c:strRef>
              <c:f>Expert!$O$33:$R$33</c:f>
              <c:strCache>
                <c:ptCount val="4"/>
                <c:pt idx="0">
                  <c:v>East</c:v>
                </c:pt>
                <c:pt idx="1">
                  <c:v>Transponders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Expert!$S$33:$AP$33</c:f>
              <c:numCache>
                <c:formatCode>General</c:formatCode>
                <c:ptCount val="24"/>
                <c:pt idx="0">
                  <c:v>472</c:v>
                </c:pt>
                <c:pt idx="1">
                  <c:v>506</c:v>
                </c:pt>
                <c:pt idx="2">
                  <c:v>531</c:v>
                </c:pt>
                <c:pt idx="3">
                  <c:v>580</c:v>
                </c:pt>
                <c:pt idx="4">
                  <c:v>636</c:v>
                </c:pt>
                <c:pt idx="5">
                  <c:v>662</c:v>
                </c:pt>
                <c:pt idx="6">
                  <c:v>727</c:v>
                </c:pt>
                <c:pt idx="7">
                  <c:v>777</c:v>
                </c:pt>
                <c:pt idx="8">
                  <c:v>816</c:v>
                </c:pt>
                <c:pt idx="9">
                  <c:v>875</c:v>
                </c:pt>
                <c:pt idx="10">
                  <c:v>959</c:v>
                </c:pt>
                <c:pt idx="11" formatCode="#,##0">
                  <c:v>1040</c:v>
                </c:pt>
                <c:pt idx="12" formatCode="#,##0">
                  <c:v>1049</c:v>
                </c:pt>
                <c:pt idx="13" formatCode="#,##0">
                  <c:v>1133</c:v>
                </c:pt>
                <c:pt idx="14" formatCode="#,##0">
                  <c:v>1202</c:v>
                </c:pt>
                <c:pt idx="15" formatCode="#,##0">
                  <c:v>1207</c:v>
                </c:pt>
                <c:pt idx="16" formatCode="#,##0">
                  <c:v>1226</c:v>
                </c:pt>
                <c:pt idx="17" formatCode="#,##0">
                  <c:v>1320</c:v>
                </c:pt>
                <c:pt idx="18" formatCode="#,##0">
                  <c:v>1401</c:v>
                </c:pt>
                <c:pt idx="19" formatCode="#,##0">
                  <c:v>1466</c:v>
                </c:pt>
                <c:pt idx="20" formatCode="#,##0">
                  <c:v>1540</c:v>
                </c:pt>
                <c:pt idx="21" formatCode="#,##0">
                  <c:v>1602</c:v>
                </c:pt>
                <c:pt idx="22" formatCode="#,##0">
                  <c:v>1728</c:v>
                </c:pt>
                <c:pt idx="23" formatCode="#,##0">
                  <c:v>1747</c:v>
                </c:pt>
              </c:numCache>
            </c:numRef>
          </c:val>
          <c:extLst>
            <c:ext xmlns:c16="http://schemas.microsoft.com/office/drawing/2014/chart" uri="{C3380CC4-5D6E-409C-BE32-E72D297353CC}">
              <c16:uniqueId val="{00000015-3948-4D11-B9FE-E7A7DC43B39A}"/>
            </c:ext>
          </c:extLst>
        </c:ser>
        <c:ser>
          <c:idx val="22"/>
          <c:order val="22"/>
          <c:tx>
            <c:strRef>
              <c:f>Expert!$O$34:$R$34</c:f>
              <c:strCache>
                <c:ptCount val="4"/>
                <c:pt idx="0">
                  <c:v>East</c:v>
                </c:pt>
                <c:pt idx="1">
                  <c:v>Transponders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Expert!$S$34:$AP$34</c:f>
              <c:numCache>
                <c:formatCode>General</c:formatCode>
                <c:ptCount val="24"/>
                <c:pt idx="0">
                  <c:v>115</c:v>
                </c:pt>
                <c:pt idx="1">
                  <c:v>116</c:v>
                </c:pt>
                <c:pt idx="2">
                  <c:v>124</c:v>
                </c:pt>
                <c:pt idx="3">
                  <c:v>131</c:v>
                </c:pt>
                <c:pt idx="4">
                  <c:v>135</c:v>
                </c:pt>
                <c:pt idx="5">
                  <c:v>137</c:v>
                </c:pt>
                <c:pt idx="6">
                  <c:v>144</c:v>
                </c:pt>
                <c:pt idx="7">
                  <c:v>158</c:v>
                </c:pt>
                <c:pt idx="8">
                  <c:v>169</c:v>
                </c:pt>
                <c:pt idx="9">
                  <c:v>176</c:v>
                </c:pt>
                <c:pt idx="10">
                  <c:v>183</c:v>
                </c:pt>
                <c:pt idx="11">
                  <c:v>200</c:v>
                </c:pt>
                <c:pt idx="12">
                  <c:v>209</c:v>
                </c:pt>
                <c:pt idx="13">
                  <c:v>229</c:v>
                </c:pt>
                <c:pt idx="14">
                  <c:v>241</c:v>
                </c:pt>
                <c:pt idx="15">
                  <c:v>257</c:v>
                </c:pt>
                <c:pt idx="16">
                  <c:v>262</c:v>
                </c:pt>
                <c:pt idx="17">
                  <c:v>274</c:v>
                </c:pt>
                <c:pt idx="18">
                  <c:v>284</c:v>
                </c:pt>
                <c:pt idx="19">
                  <c:v>310</c:v>
                </c:pt>
                <c:pt idx="20">
                  <c:v>333</c:v>
                </c:pt>
                <c:pt idx="21">
                  <c:v>362</c:v>
                </c:pt>
                <c:pt idx="22">
                  <c:v>386</c:v>
                </c:pt>
                <c:pt idx="23">
                  <c:v>394</c:v>
                </c:pt>
              </c:numCache>
            </c:numRef>
          </c:val>
          <c:extLst>
            <c:ext xmlns:c16="http://schemas.microsoft.com/office/drawing/2014/chart" uri="{C3380CC4-5D6E-409C-BE32-E72D297353CC}">
              <c16:uniqueId val="{00000016-3948-4D11-B9FE-E7A7DC43B39A}"/>
            </c:ext>
          </c:extLst>
        </c:ser>
        <c:ser>
          <c:idx val="23"/>
          <c:order val="23"/>
          <c:tx>
            <c:strRef>
              <c:f>Expert!$O$35:$R$35</c:f>
              <c:strCache>
                <c:ptCount val="4"/>
                <c:pt idx="0">
                  <c:v>East</c:v>
                </c:pt>
                <c:pt idx="1">
                  <c:v>Transponders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Expert!$S$35:$AP$35</c:f>
              <c:numCache>
                <c:formatCode>General</c:formatCode>
                <c:ptCount val="24"/>
                <c:pt idx="0">
                  <c:v>460</c:v>
                </c:pt>
                <c:pt idx="1">
                  <c:v>481</c:v>
                </c:pt>
                <c:pt idx="2">
                  <c:v>522</c:v>
                </c:pt>
                <c:pt idx="3">
                  <c:v>557</c:v>
                </c:pt>
                <c:pt idx="4">
                  <c:v>568</c:v>
                </c:pt>
                <c:pt idx="5">
                  <c:v>578</c:v>
                </c:pt>
                <c:pt idx="6">
                  <c:v>613</c:v>
                </c:pt>
                <c:pt idx="7">
                  <c:v>634</c:v>
                </c:pt>
                <c:pt idx="8">
                  <c:v>653</c:v>
                </c:pt>
                <c:pt idx="9">
                  <c:v>702</c:v>
                </c:pt>
                <c:pt idx="10">
                  <c:v>760</c:v>
                </c:pt>
                <c:pt idx="11">
                  <c:v>813</c:v>
                </c:pt>
                <c:pt idx="12">
                  <c:v>856</c:v>
                </c:pt>
                <c:pt idx="13">
                  <c:v>884</c:v>
                </c:pt>
                <c:pt idx="14">
                  <c:v>962</c:v>
                </c:pt>
                <c:pt idx="15">
                  <c:v>963</c:v>
                </c:pt>
                <c:pt idx="16" formatCode="#,##0">
                  <c:v>1053</c:v>
                </c:pt>
                <c:pt idx="17" formatCode="#,##0">
                  <c:v>1092</c:v>
                </c:pt>
                <c:pt idx="18" formatCode="#,##0">
                  <c:v>1093</c:v>
                </c:pt>
                <c:pt idx="19" formatCode="#,##0">
                  <c:v>1116</c:v>
                </c:pt>
                <c:pt idx="20" formatCode="#,##0">
                  <c:v>1198</c:v>
                </c:pt>
                <c:pt idx="21" formatCode="#,##0">
                  <c:v>1212</c:v>
                </c:pt>
                <c:pt idx="22" formatCode="#,##0">
                  <c:v>1301</c:v>
                </c:pt>
                <c:pt idx="23" formatCode="#,##0">
                  <c:v>1305</c:v>
                </c:pt>
              </c:numCache>
            </c:numRef>
          </c:val>
          <c:extLst>
            <c:ext xmlns:c16="http://schemas.microsoft.com/office/drawing/2014/chart" uri="{C3380CC4-5D6E-409C-BE32-E72D297353CC}">
              <c16:uniqueId val="{00000017-3948-4D11-B9FE-E7A7DC43B39A}"/>
            </c:ext>
          </c:extLst>
        </c:ser>
        <c:ser>
          <c:idx val="24"/>
          <c:order val="24"/>
          <c:tx>
            <c:strRef>
              <c:f>Expert!$O$36:$R$36</c:f>
              <c:strCache>
                <c:ptCount val="4"/>
                <c:pt idx="0">
                  <c:v>East</c:v>
                </c:pt>
                <c:pt idx="1">
                  <c:v>Glue Guns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Expert!$S$36:$AP$36</c:f>
              <c:numCache>
                <c:formatCode>General</c:formatCode>
                <c:ptCount val="24"/>
                <c:pt idx="0">
                  <c:v>713</c:v>
                </c:pt>
                <c:pt idx="1">
                  <c:v>736</c:v>
                </c:pt>
                <c:pt idx="2">
                  <c:v>782</c:v>
                </c:pt>
                <c:pt idx="3">
                  <c:v>859</c:v>
                </c:pt>
                <c:pt idx="4">
                  <c:v>881</c:v>
                </c:pt>
                <c:pt idx="5">
                  <c:v>969</c:v>
                </c:pt>
                <c:pt idx="6" formatCode="#,##0">
                  <c:v>1004</c:v>
                </c:pt>
                <c:pt idx="7" formatCode="#,##0">
                  <c:v>1015</c:v>
                </c:pt>
                <c:pt idx="8" formatCode="#,##0">
                  <c:v>1104</c:v>
                </c:pt>
                <c:pt idx="9" formatCode="#,##0">
                  <c:v>1179</c:v>
                </c:pt>
                <c:pt idx="10" formatCode="#,##0">
                  <c:v>1194</c:v>
                </c:pt>
                <c:pt idx="11" formatCode="#,##0">
                  <c:v>1227</c:v>
                </c:pt>
                <c:pt idx="12" formatCode="#,##0">
                  <c:v>1244</c:v>
                </c:pt>
                <c:pt idx="13" formatCode="#,##0">
                  <c:v>1247</c:v>
                </c:pt>
                <c:pt idx="14" formatCode="#,##0">
                  <c:v>1347</c:v>
                </c:pt>
                <c:pt idx="15" formatCode="#,##0">
                  <c:v>1468</c:v>
                </c:pt>
                <c:pt idx="16" formatCode="#,##0">
                  <c:v>1486</c:v>
                </c:pt>
                <c:pt idx="17" formatCode="#,##0">
                  <c:v>1613</c:v>
                </c:pt>
                <c:pt idx="18" formatCode="#,##0">
                  <c:v>1629</c:v>
                </c:pt>
                <c:pt idx="19" formatCode="#,##0">
                  <c:v>1732</c:v>
                </c:pt>
                <c:pt idx="20" formatCode="#,##0">
                  <c:v>1833</c:v>
                </c:pt>
                <c:pt idx="21" formatCode="#,##0">
                  <c:v>1982</c:v>
                </c:pt>
                <c:pt idx="22" formatCode="#,##0">
                  <c:v>2071</c:v>
                </c:pt>
                <c:pt idx="23" formatCode="#,##0">
                  <c:v>2148</c:v>
                </c:pt>
              </c:numCache>
            </c:numRef>
          </c:val>
          <c:extLst>
            <c:ext xmlns:c16="http://schemas.microsoft.com/office/drawing/2014/chart" uri="{C3380CC4-5D6E-409C-BE32-E72D297353CC}">
              <c16:uniqueId val="{00000018-3948-4D11-B9FE-E7A7DC43B39A}"/>
            </c:ext>
          </c:extLst>
        </c:ser>
        <c:ser>
          <c:idx val="25"/>
          <c:order val="25"/>
          <c:tx>
            <c:strRef>
              <c:f>Expert!$O$37:$R$37</c:f>
              <c:strCache>
                <c:ptCount val="4"/>
                <c:pt idx="0">
                  <c:v>East</c:v>
                </c:pt>
                <c:pt idx="1">
                  <c:v>Glue Guns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Expert!$S$37:$AP$37</c:f>
              <c:numCache>
                <c:formatCode>General</c:formatCode>
                <c:ptCount val="24"/>
                <c:pt idx="0">
                  <c:v>957</c:v>
                </c:pt>
                <c:pt idx="1">
                  <c:v>960</c:v>
                </c:pt>
                <c:pt idx="2" formatCode="#,##0">
                  <c:v>1039</c:v>
                </c:pt>
                <c:pt idx="3" formatCode="#,##0">
                  <c:v>1065</c:v>
                </c:pt>
                <c:pt idx="4" formatCode="#,##0">
                  <c:v>1089</c:v>
                </c:pt>
                <c:pt idx="5" formatCode="#,##0">
                  <c:v>1125</c:v>
                </c:pt>
                <c:pt idx="6" formatCode="#,##0">
                  <c:v>1155</c:v>
                </c:pt>
                <c:pt idx="7" formatCode="#,##0">
                  <c:v>1203</c:v>
                </c:pt>
                <c:pt idx="8" formatCode="#,##0">
                  <c:v>1216</c:v>
                </c:pt>
                <c:pt idx="9" formatCode="#,##0">
                  <c:v>1337</c:v>
                </c:pt>
                <c:pt idx="10" formatCode="#,##0">
                  <c:v>1348</c:v>
                </c:pt>
                <c:pt idx="11" formatCode="#,##0">
                  <c:v>1425</c:v>
                </c:pt>
                <c:pt idx="12" formatCode="#,##0">
                  <c:v>1557</c:v>
                </c:pt>
                <c:pt idx="13" formatCode="#,##0">
                  <c:v>1586</c:v>
                </c:pt>
                <c:pt idx="14" formatCode="#,##0">
                  <c:v>1635</c:v>
                </c:pt>
                <c:pt idx="15" formatCode="#,##0">
                  <c:v>1635</c:v>
                </c:pt>
                <c:pt idx="16" formatCode="#,##0">
                  <c:v>1737</c:v>
                </c:pt>
                <c:pt idx="17" formatCode="#,##0">
                  <c:v>1881</c:v>
                </c:pt>
                <c:pt idx="18" formatCode="#,##0">
                  <c:v>1948</c:v>
                </c:pt>
                <c:pt idx="19" formatCode="#,##0">
                  <c:v>2028</c:v>
                </c:pt>
                <c:pt idx="20" formatCode="#,##0">
                  <c:v>2194</c:v>
                </c:pt>
                <c:pt idx="21" formatCode="#,##0">
                  <c:v>2250</c:v>
                </c:pt>
                <c:pt idx="22" formatCode="#,##0">
                  <c:v>2343</c:v>
                </c:pt>
                <c:pt idx="23" formatCode="#,##0">
                  <c:v>2525</c:v>
                </c:pt>
              </c:numCache>
            </c:numRef>
          </c:val>
          <c:extLst>
            <c:ext xmlns:c16="http://schemas.microsoft.com/office/drawing/2014/chart" uri="{C3380CC4-5D6E-409C-BE32-E72D297353CC}">
              <c16:uniqueId val="{00000019-3948-4D11-B9FE-E7A7DC43B39A}"/>
            </c:ext>
          </c:extLst>
        </c:ser>
        <c:ser>
          <c:idx val="26"/>
          <c:order val="26"/>
          <c:tx>
            <c:strRef>
              <c:f>Expert!$O$38:$R$38</c:f>
              <c:strCache>
                <c:ptCount val="4"/>
                <c:pt idx="0">
                  <c:v>East</c:v>
                </c:pt>
                <c:pt idx="1">
                  <c:v>Glue Guns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Expert!$S$38:$AP$38</c:f>
              <c:numCache>
                <c:formatCode>#,##0</c:formatCode>
                <c:ptCount val="24"/>
                <c:pt idx="0" formatCode="General">
                  <c:v>987</c:v>
                </c:pt>
                <c:pt idx="1">
                  <c:v>1039</c:v>
                </c:pt>
                <c:pt idx="2">
                  <c:v>1054</c:v>
                </c:pt>
                <c:pt idx="3">
                  <c:v>1092</c:v>
                </c:pt>
                <c:pt idx="4">
                  <c:v>1183</c:v>
                </c:pt>
                <c:pt idx="5">
                  <c:v>1222</c:v>
                </c:pt>
                <c:pt idx="6">
                  <c:v>1288</c:v>
                </c:pt>
                <c:pt idx="7">
                  <c:v>1355</c:v>
                </c:pt>
                <c:pt idx="8">
                  <c:v>1370</c:v>
                </c:pt>
                <c:pt idx="9">
                  <c:v>1380</c:v>
                </c:pt>
                <c:pt idx="10">
                  <c:v>1401</c:v>
                </c:pt>
                <c:pt idx="11">
                  <c:v>1421</c:v>
                </c:pt>
                <c:pt idx="12">
                  <c:v>1434</c:v>
                </c:pt>
                <c:pt idx="13">
                  <c:v>1474</c:v>
                </c:pt>
                <c:pt idx="14">
                  <c:v>1552</c:v>
                </c:pt>
                <c:pt idx="15">
                  <c:v>1570</c:v>
                </c:pt>
                <c:pt idx="16">
                  <c:v>1686</c:v>
                </c:pt>
                <c:pt idx="17">
                  <c:v>1804</c:v>
                </c:pt>
                <c:pt idx="18">
                  <c:v>1855</c:v>
                </c:pt>
                <c:pt idx="19">
                  <c:v>1892</c:v>
                </c:pt>
                <c:pt idx="20">
                  <c:v>1922</c:v>
                </c:pt>
                <c:pt idx="21">
                  <c:v>2090</c:v>
                </c:pt>
                <c:pt idx="22">
                  <c:v>2152</c:v>
                </c:pt>
                <c:pt idx="23">
                  <c:v>2215</c:v>
                </c:pt>
              </c:numCache>
            </c:numRef>
          </c:val>
          <c:extLst>
            <c:ext xmlns:c16="http://schemas.microsoft.com/office/drawing/2014/chart" uri="{C3380CC4-5D6E-409C-BE32-E72D297353CC}">
              <c16:uniqueId val="{0000001A-3948-4D11-B9FE-E7A7DC43B39A}"/>
            </c:ext>
          </c:extLst>
        </c:ser>
        <c:ser>
          <c:idx val="27"/>
          <c:order val="27"/>
          <c:tx>
            <c:strRef>
              <c:f>Expert!$O$39:$R$39</c:f>
              <c:strCache>
                <c:ptCount val="4"/>
                <c:pt idx="0">
                  <c:v>East</c:v>
                </c:pt>
                <c:pt idx="1">
                  <c:v>Glue Guns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Expert!$S$39:$AP$39</c:f>
              <c:numCache>
                <c:formatCode>General</c:formatCode>
                <c:ptCount val="24"/>
                <c:pt idx="0">
                  <c:v>535</c:v>
                </c:pt>
                <c:pt idx="1">
                  <c:v>555</c:v>
                </c:pt>
                <c:pt idx="2">
                  <c:v>590</c:v>
                </c:pt>
                <c:pt idx="3">
                  <c:v>603</c:v>
                </c:pt>
                <c:pt idx="4">
                  <c:v>652</c:v>
                </c:pt>
                <c:pt idx="5">
                  <c:v>715</c:v>
                </c:pt>
                <c:pt idx="6">
                  <c:v>756</c:v>
                </c:pt>
                <c:pt idx="7">
                  <c:v>781</c:v>
                </c:pt>
                <c:pt idx="8">
                  <c:v>783</c:v>
                </c:pt>
                <c:pt idx="9">
                  <c:v>852</c:v>
                </c:pt>
                <c:pt idx="10">
                  <c:v>931</c:v>
                </c:pt>
                <c:pt idx="11" formatCode="#,##0">
                  <c:v>1014</c:v>
                </c:pt>
                <c:pt idx="12" formatCode="#,##0">
                  <c:v>1060</c:v>
                </c:pt>
                <c:pt idx="13" formatCode="#,##0">
                  <c:v>1165</c:v>
                </c:pt>
                <c:pt idx="14" formatCode="#,##0">
                  <c:v>1257</c:v>
                </c:pt>
                <c:pt idx="15" formatCode="#,##0">
                  <c:v>1295</c:v>
                </c:pt>
                <c:pt idx="16" formatCode="#,##0">
                  <c:v>1302</c:v>
                </c:pt>
                <c:pt idx="17" formatCode="#,##0">
                  <c:v>1358</c:v>
                </c:pt>
                <c:pt idx="18" formatCode="#,##0">
                  <c:v>1469</c:v>
                </c:pt>
                <c:pt idx="19" formatCode="#,##0">
                  <c:v>1610</c:v>
                </c:pt>
                <c:pt idx="20" formatCode="#,##0">
                  <c:v>1664</c:v>
                </c:pt>
                <c:pt idx="21" formatCode="#,##0">
                  <c:v>1770</c:v>
                </c:pt>
                <c:pt idx="22" formatCode="#,##0">
                  <c:v>1782</c:v>
                </c:pt>
                <c:pt idx="23" formatCode="#,##0">
                  <c:v>1822</c:v>
                </c:pt>
              </c:numCache>
            </c:numRef>
          </c:val>
          <c:extLst>
            <c:ext xmlns:c16="http://schemas.microsoft.com/office/drawing/2014/chart" uri="{C3380CC4-5D6E-409C-BE32-E72D297353CC}">
              <c16:uniqueId val="{0000001B-3948-4D11-B9FE-E7A7DC43B39A}"/>
            </c:ext>
          </c:extLst>
        </c:ser>
        <c:ser>
          <c:idx val="28"/>
          <c:order val="28"/>
          <c:tx>
            <c:strRef>
              <c:f>Expert!$O$40:$R$40</c:f>
              <c:strCache>
                <c:ptCount val="4"/>
                <c:pt idx="0">
                  <c:v>East</c:v>
                </c:pt>
                <c:pt idx="1">
                  <c:v>Glue Guns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Expert!$S$40:$AP$40</c:f>
              <c:numCache>
                <c:formatCode>General</c:formatCode>
                <c:ptCount val="24"/>
                <c:pt idx="0">
                  <c:v>645</c:v>
                </c:pt>
                <c:pt idx="1">
                  <c:v>694</c:v>
                </c:pt>
                <c:pt idx="2">
                  <c:v>736</c:v>
                </c:pt>
                <c:pt idx="3">
                  <c:v>762</c:v>
                </c:pt>
                <c:pt idx="4">
                  <c:v>831</c:v>
                </c:pt>
                <c:pt idx="5">
                  <c:v>868</c:v>
                </c:pt>
                <c:pt idx="6">
                  <c:v>874</c:v>
                </c:pt>
                <c:pt idx="7">
                  <c:v>874</c:v>
                </c:pt>
                <c:pt idx="8">
                  <c:v>947</c:v>
                </c:pt>
                <c:pt idx="9">
                  <c:v>948</c:v>
                </c:pt>
                <c:pt idx="10" formatCode="#,##0">
                  <c:v>1030</c:v>
                </c:pt>
                <c:pt idx="11" formatCode="#,##0">
                  <c:v>1070</c:v>
                </c:pt>
                <c:pt idx="12" formatCode="#,##0">
                  <c:v>1130</c:v>
                </c:pt>
                <c:pt idx="13" formatCode="#,##0">
                  <c:v>1167</c:v>
                </c:pt>
                <c:pt idx="14" formatCode="#,##0">
                  <c:v>1224</c:v>
                </c:pt>
                <c:pt idx="15" formatCode="#,##0">
                  <c:v>1235</c:v>
                </c:pt>
                <c:pt idx="16" formatCode="#,##0">
                  <c:v>1352</c:v>
                </c:pt>
                <c:pt idx="17" formatCode="#,##0">
                  <c:v>1460</c:v>
                </c:pt>
                <c:pt idx="18" formatCode="#,##0">
                  <c:v>1588</c:v>
                </c:pt>
                <c:pt idx="19" formatCode="#,##0">
                  <c:v>1637</c:v>
                </c:pt>
                <c:pt idx="20" formatCode="#,##0">
                  <c:v>1760</c:v>
                </c:pt>
                <c:pt idx="21" formatCode="#,##0">
                  <c:v>1926</c:v>
                </c:pt>
                <c:pt idx="22" formatCode="#,##0">
                  <c:v>1977</c:v>
                </c:pt>
                <c:pt idx="23" formatCode="#,##0">
                  <c:v>2048</c:v>
                </c:pt>
              </c:numCache>
            </c:numRef>
          </c:val>
          <c:extLst>
            <c:ext xmlns:c16="http://schemas.microsoft.com/office/drawing/2014/chart" uri="{C3380CC4-5D6E-409C-BE32-E72D297353CC}">
              <c16:uniqueId val="{0000001C-3948-4D11-B9FE-E7A7DC43B39A}"/>
            </c:ext>
          </c:extLst>
        </c:ser>
        <c:ser>
          <c:idx val="29"/>
          <c:order val="29"/>
          <c:tx>
            <c:strRef>
              <c:f>Expert!$O$41:$R$41</c:f>
              <c:strCache>
                <c:ptCount val="4"/>
                <c:pt idx="0">
                  <c:v>East</c:v>
                </c:pt>
                <c:pt idx="1">
                  <c:v>Glue Guns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Expert!$S$41:$AP$41</c:f>
              <c:numCache>
                <c:formatCode>General</c:formatCode>
                <c:ptCount val="24"/>
                <c:pt idx="0">
                  <c:v>899</c:v>
                </c:pt>
                <c:pt idx="1">
                  <c:v>951</c:v>
                </c:pt>
                <c:pt idx="2">
                  <c:v>952</c:v>
                </c:pt>
                <c:pt idx="3" formatCode="#,##0">
                  <c:v>1038</c:v>
                </c:pt>
                <c:pt idx="4" formatCode="#,##0">
                  <c:v>1084</c:v>
                </c:pt>
                <c:pt idx="5" formatCode="#,##0">
                  <c:v>1097</c:v>
                </c:pt>
                <c:pt idx="6" formatCode="#,##0">
                  <c:v>1132</c:v>
                </c:pt>
                <c:pt idx="7" formatCode="#,##0">
                  <c:v>1217</c:v>
                </c:pt>
                <c:pt idx="8" formatCode="#,##0">
                  <c:v>1257</c:v>
                </c:pt>
                <c:pt idx="9" formatCode="#,##0">
                  <c:v>1303</c:v>
                </c:pt>
                <c:pt idx="10" formatCode="#,##0">
                  <c:v>1358</c:v>
                </c:pt>
                <c:pt idx="11" formatCode="#,##0">
                  <c:v>1475</c:v>
                </c:pt>
                <c:pt idx="12" formatCode="#,##0">
                  <c:v>1621</c:v>
                </c:pt>
                <c:pt idx="13" formatCode="#,##0">
                  <c:v>1771</c:v>
                </c:pt>
                <c:pt idx="14" formatCode="#,##0">
                  <c:v>1896</c:v>
                </c:pt>
                <c:pt idx="15" formatCode="#,##0">
                  <c:v>2035</c:v>
                </c:pt>
                <c:pt idx="16" formatCode="#,##0">
                  <c:v>2138</c:v>
                </c:pt>
                <c:pt idx="17" formatCode="#,##0">
                  <c:v>2292</c:v>
                </c:pt>
                <c:pt idx="18" formatCode="#,##0">
                  <c:v>2437</c:v>
                </c:pt>
                <c:pt idx="19" formatCode="#,##0">
                  <c:v>2660</c:v>
                </c:pt>
                <c:pt idx="20" formatCode="#,##0">
                  <c:v>2907</c:v>
                </c:pt>
                <c:pt idx="21" formatCode="#,##0">
                  <c:v>3102</c:v>
                </c:pt>
                <c:pt idx="22" formatCode="#,##0">
                  <c:v>3165</c:v>
                </c:pt>
                <c:pt idx="23" formatCode="#,##0">
                  <c:v>3327</c:v>
                </c:pt>
              </c:numCache>
            </c:numRef>
          </c:val>
          <c:extLst>
            <c:ext xmlns:c16="http://schemas.microsoft.com/office/drawing/2014/chart" uri="{C3380CC4-5D6E-409C-BE32-E72D297353CC}">
              <c16:uniqueId val="{0000001D-3948-4D11-B9FE-E7A7DC43B39A}"/>
            </c:ext>
          </c:extLst>
        </c:ser>
        <c:ser>
          <c:idx val="30"/>
          <c:order val="30"/>
          <c:tx>
            <c:strRef>
              <c:f>Expert!$O$42:$R$42</c:f>
              <c:strCache>
                <c:ptCount val="4"/>
                <c:pt idx="0">
                  <c:v>East</c:v>
                </c:pt>
                <c:pt idx="1">
                  <c:v>Glue Guns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Expert!$S$42:$AP$42</c:f>
              <c:numCache>
                <c:formatCode>General</c:formatCode>
                <c:ptCount val="24"/>
                <c:pt idx="0">
                  <c:v>914</c:v>
                </c:pt>
                <c:pt idx="1">
                  <c:v>914</c:v>
                </c:pt>
                <c:pt idx="2">
                  <c:v>925</c:v>
                </c:pt>
                <c:pt idx="3" formatCode="#,##0">
                  <c:v>1005</c:v>
                </c:pt>
                <c:pt idx="4" formatCode="#,##0">
                  <c:v>1051</c:v>
                </c:pt>
                <c:pt idx="5" formatCode="#,##0">
                  <c:v>1088</c:v>
                </c:pt>
                <c:pt idx="6" formatCode="#,##0">
                  <c:v>1103</c:v>
                </c:pt>
                <c:pt idx="7" formatCode="#,##0">
                  <c:v>1130</c:v>
                </c:pt>
                <c:pt idx="8" formatCode="#,##0">
                  <c:v>1221</c:v>
                </c:pt>
                <c:pt idx="9" formatCode="#,##0">
                  <c:v>1320</c:v>
                </c:pt>
                <c:pt idx="10" formatCode="#,##0">
                  <c:v>1450</c:v>
                </c:pt>
                <c:pt idx="11" formatCode="#,##0">
                  <c:v>1519</c:v>
                </c:pt>
                <c:pt idx="12" formatCode="#,##0">
                  <c:v>1658</c:v>
                </c:pt>
                <c:pt idx="13" formatCode="#,##0">
                  <c:v>1712</c:v>
                </c:pt>
                <c:pt idx="14" formatCode="#,##0">
                  <c:v>1793</c:v>
                </c:pt>
                <c:pt idx="15" formatCode="#,##0">
                  <c:v>1847</c:v>
                </c:pt>
                <c:pt idx="16" formatCode="#,##0">
                  <c:v>1981</c:v>
                </c:pt>
                <c:pt idx="17" formatCode="#,##0">
                  <c:v>2017</c:v>
                </c:pt>
                <c:pt idx="18" formatCode="#,##0">
                  <c:v>2090</c:v>
                </c:pt>
                <c:pt idx="19" formatCode="#,##0">
                  <c:v>2244</c:v>
                </c:pt>
                <c:pt idx="20" formatCode="#,##0">
                  <c:v>2369</c:v>
                </c:pt>
                <c:pt idx="21" formatCode="#,##0">
                  <c:v>2466</c:v>
                </c:pt>
                <c:pt idx="22" formatCode="#,##0">
                  <c:v>2522</c:v>
                </c:pt>
                <c:pt idx="23" formatCode="#,##0">
                  <c:v>2745</c:v>
                </c:pt>
              </c:numCache>
            </c:numRef>
          </c:val>
          <c:extLst>
            <c:ext xmlns:c16="http://schemas.microsoft.com/office/drawing/2014/chart" uri="{C3380CC4-5D6E-409C-BE32-E72D297353CC}">
              <c16:uniqueId val="{0000001E-3948-4D11-B9FE-E7A7DC43B39A}"/>
            </c:ext>
          </c:extLst>
        </c:ser>
        <c:ser>
          <c:idx val="31"/>
          <c:order val="31"/>
          <c:tx>
            <c:strRef>
              <c:f>Expert!$O$43:$R$43</c:f>
              <c:strCache>
                <c:ptCount val="4"/>
                <c:pt idx="0">
                  <c:v>East</c:v>
                </c:pt>
                <c:pt idx="1">
                  <c:v>Glue Guns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Expert!$S$43:$AP$43</c:f>
              <c:numCache>
                <c:formatCode>General</c:formatCode>
                <c:ptCount val="24"/>
                <c:pt idx="0">
                  <c:v>125</c:v>
                </c:pt>
                <c:pt idx="1">
                  <c:v>130</c:v>
                </c:pt>
                <c:pt idx="2">
                  <c:v>143</c:v>
                </c:pt>
                <c:pt idx="3">
                  <c:v>144</c:v>
                </c:pt>
                <c:pt idx="4">
                  <c:v>151</c:v>
                </c:pt>
                <c:pt idx="5">
                  <c:v>164</c:v>
                </c:pt>
                <c:pt idx="6">
                  <c:v>175</c:v>
                </c:pt>
                <c:pt idx="7">
                  <c:v>180</c:v>
                </c:pt>
                <c:pt idx="8">
                  <c:v>188</c:v>
                </c:pt>
                <c:pt idx="9">
                  <c:v>206</c:v>
                </c:pt>
                <c:pt idx="10">
                  <c:v>211</c:v>
                </c:pt>
                <c:pt idx="11">
                  <c:v>231</c:v>
                </c:pt>
                <c:pt idx="12">
                  <c:v>241</c:v>
                </c:pt>
                <c:pt idx="13">
                  <c:v>249</c:v>
                </c:pt>
                <c:pt idx="14">
                  <c:v>264</c:v>
                </c:pt>
                <c:pt idx="15">
                  <c:v>280</c:v>
                </c:pt>
                <c:pt idx="16">
                  <c:v>300</c:v>
                </c:pt>
                <c:pt idx="17">
                  <c:v>308</c:v>
                </c:pt>
                <c:pt idx="18">
                  <c:v>329</c:v>
                </c:pt>
                <c:pt idx="19">
                  <c:v>342</c:v>
                </c:pt>
                <c:pt idx="20">
                  <c:v>345</c:v>
                </c:pt>
                <c:pt idx="21">
                  <c:v>349</c:v>
                </c:pt>
                <c:pt idx="22">
                  <c:v>361</c:v>
                </c:pt>
                <c:pt idx="23">
                  <c:v>381</c:v>
                </c:pt>
              </c:numCache>
            </c:numRef>
          </c:val>
          <c:extLst>
            <c:ext xmlns:c16="http://schemas.microsoft.com/office/drawing/2014/chart" uri="{C3380CC4-5D6E-409C-BE32-E72D297353CC}">
              <c16:uniqueId val="{0000001F-3948-4D11-B9FE-E7A7DC43B39A}"/>
            </c:ext>
          </c:extLst>
        </c:ser>
        <c:ser>
          <c:idx val="32"/>
          <c:order val="32"/>
          <c:tx>
            <c:strRef>
              <c:f>Expert!$O$44:$R$44</c:f>
              <c:strCache>
                <c:ptCount val="4"/>
                <c:pt idx="0">
                  <c:v>East</c:v>
                </c:pt>
                <c:pt idx="1">
                  <c:v>Glue Guns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Expert!$S$44:$AP$44</c:f>
              <c:numCache>
                <c:formatCode>General</c:formatCode>
                <c:ptCount val="24"/>
                <c:pt idx="0">
                  <c:v>955</c:v>
                </c:pt>
                <c:pt idx="1">
                  <c:v>968</c:v>
                </c:pt>
                <c:pt idx="2" formatCode="#,##0">
                  <c:v>1042</c:v>
                </c:pt>
                <c:pt idx="3" formatCode="#,##0">
                  <c:v>1145</c:v>
                </c:pt>
                <c:pt idx="4" formatCode="#,##0">
                  <c:v>1206</c:v>
                </c:pt>
                <c:pt idx="5" formatCode="#,##0">
                  <c:v>1240</c:v>
                </c:pt>
                <c:pt idx="6" formatCode="#,##0">
                  <c:v>1354</c:v>
                </c:pt>
                <c:pt idx="7" formatCode="#,##0">
                  <c:v>1384</c:v>
                </c:pt>
                <c:pt idx="8" formatCode="#,##0">
                  <c:v>1478</c:v>
                </c:pt>
                <c:pt idx="9" formatCode="#,##0">
                  <c:v>1518</c:v>
                </c:pt>
                <c:pt idx="10" formatCode="#,##0">
                  <c:v>1582</c:v>
                </c:pt>
                <c:pt idx="11" formatCode="#,##0">
                  <c:v>1589</c:v>
                </c:pt>
                <c:pt idx="12" formatCode="#,##0">
                  <c:v>1747</c:v>
                </c:pt>
                <c:pt idx="13" formatCode="#,##0">
                  <c:v>1876</c:v>
                </c:pt>
                <c:pt idx="14" formatCode="#,##0">
                  <c:v>1943</c:v>
                </c:pt>
                <c:pt idx="15" formatCode="#,##0">
                  <c:v>2101</c:v>
                </c:pt>
                <c:pt idx="16" formatCode="#,##0">
                  <c:v>2117</c:v>
                </c:pt>
                <c:pt idx="17" formatCode="#,##0">
                  <c:v>2164</c:v>
                </c:pt>
                <c:pt idx="18" formatCode="#,##0">
                  <c:v>2261</c:v>
                </c:pt>
                <c:pt idx="19" formatCode="#,##0">
                  <c:v>2357</c:v>
                </c:pt>
                <c:pt idx="20" formatCode="#,##0">
                  <c:v>2526</c:v>
                </c:pt>
                <c:pt idx="21" formatCode="#,##0">
                  <c:v>2690</c:v>
                </c:pt>
                <c:pt idx="22" formatCode="#,##0">
                  <c:v>2831</c:v>
                </c:pt>
                <c:pt idx="23" formatCode="#,##0">
                  <c:v>2991</c:v>
                </c:pt>
              </c:numCache>
            </c:numRef>
          </c:val>
          <c:extLst>
            <c:ext xmlns:c16="http://schemas.microsoft.com/office/drawing/2014/chart" uri="{C3380CC4-5D6E-409C-BE32-E72D297353CC}">
              <c16:uniqueId val="{00000020-3948-4D11-B9FE-E7A7DC43B39A}"/>
            </c:ext>
          </c:extLst>
        </c:ser>
        <c:ser>
          <c:idx val="33"/>
          <c:order val="33"/>
          <c:tx>
            <c:strRef>
              <c:f>Expert!$O$45:$R$45</c:f>
              <c:strCache>
                <c:ptCount val="4"/>
                <c:pt idx="0">
                  <c:v>East</c:v>
                </c:pt>
                <c:pt idx="1">
                  <c:v>Glue Guns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Expert!$S$45:$AP$45</c:f>
              <c:numCache>
                <c:formatCode>General</c:formatCode>
                <c:ptCount val="24"/>
                <c:pt idx="0">
                  <c:v>704</c:v>
                </c:pt>
                <c:pt idx="1">
                  <c:v>749</c:v>
                </c:pt>
                <c:pt idx="2">
                  <c:v>811</c:v>
                </c:pt>
                <c:pt idx="3">
                  <c:v>821</c:v>
                </c:pt>
                <c:pt idx="4">
                  <c:v>888</c:v>
                </c:pt>
                <c:pt idx="5">
                  <c:v>937</c:v>
                </c:pt>
                <c:pt idx="6">
                  <c:v>978</c:v>
                </c:pt>
                <c:pt idx="7" formatCode="#,##0">
                  <c:v>1072</c:v>
                </c:pt>
                <c:pt idx="8" formatCode="#,##0">
                  <c:v>1124</c:v>
                </c:pt>
                <c:pt idx="9" formatCode="#,##0">
                  <c:v>1137</c:v>
                </c:pt>
                <c:pt idx="10" formatCode="#,##0">
                  <c:v>1190</c:v>
                </c:pt>
                <c:pt idx="11" formatCode="#,##0">
                  <c:v>1190</c:v>
                </c:pt>
                <c:pt idx="12" formatCode="#,##0">
                  <c:v>1257</c:v>
                </c:pt>
                <c:pt idx="13" formatCode="#,##0">
                  <c:v>1267</c:v>
                </c:pt>
                <c:pt idx="14" formatCode="#,##0">
                  <c:v>1327</c:v>
                </c:pt>
                <c:pt idx="15" formatCode="#,##0">
                  <c:v>1381</c:v>
                </c:pt>
                <c:pt idx="16" formatCode="#,##0">
                  <c:v>1455</c:v>
                </c:pt>
                <c:pt idx="17" formatCode="#,##0">
                  <c:v>1479</c:v>
                </c:pt>
                <c:pt idx="18" formatCode="#,##0">
                  <c:v>1540</c:v>
                </c:pt>
                <c:pt idx="19" formatCode="#,##0">
                  <c:v>1635</c:v>
                </c:pt>
                <c:pt idx="20" formatCode="#,##0">
                  <c:v>1645</c:v>
                </c:pt>
                <c:pt idx="21" formatCode="#,##0">
                  <c:v>1684</c:v>
                </c:pt>
                <c:pt idx="22" formatCode="#,##0">
                  <c:v>1818</c:v>
                </c:pt>
                <c:pt idx="23" formatCode="#,##0">
                  <c:v>1998</c:v>
                </c:pt>
              </c:numCache>
            </c:numRef>
          </c:val>
          <c:extLst>
            <c:ext xmlns:c16="http://schemas.microsoft.com/office/drawing/2014/chart" uri="{C3380CC4-5D6E-409C-BE32-E72D297353CC}">
              <c16:uniqueId val="{00000021-3948-4D11-B9FE-E7A7DC43B39A}"/>
            </c:ext>
          </c:extLst>
        </c:ser>
        <c:ser>
          <c:idx val="34"/>
          <c:order val="34"/>
          <c:tx>
            <c:strRef>
              <c:f>Expert!$O$46:$R$46</c:f>
              <c:strCache>
                <c:ptCount val="4"/>
                <c:pt idx="0">
                  <c:v>East</c:v>
                </c:pt>
                <c:pt idx="1">
                  <c:v>Glue Guns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Expert!$S$46:$AP$46</c:f>
              <c:numCache>
                <c:formatCode>General</c:formatCode>
                <c:ptCount val="24"/>
                <c:pt idx="0">
                  <c:v>65</c:v>
                </c:pt>
                <c:pt idx="1">
                  <c:v>69</c:v>
                </c:pt>
                <c:pt idx="2">
                  <c:v>70</c:v>
                </c:pt>
                <c:pt idx="3">
                  <c:v>76</c:v>
                </c:pt>
                <c:pt idx="4">
                  <c:v>82</c:v>
                </c:pt>
                <c:pt idx="5">
                  <c:v>88</c:v>
                </c:pt>
                <c:pt idx="6">
                  <c:v>88</c:v>
                </c:pt>
                <c:pt idx="7">
                  <c:v>94</c:v>
                </c:pt>
                <c:pt idx="8">
                  <c:v>102</c:v>
                </c:pt>
                <c:pt idx="9">
                  <c:v>102</c:v>
                </c:pt>
                <c:pt idx="10">
                  <c:v>108</c:v>
                </c:pt>
                <c:pt idx="11">
                  <c:v>111</c:v>
                </c:pt>
                <c:pt idx="12">
                  <c:v>117</c:v>
                </c:pt>
                <c:pt idx="13">
                  <c:v>126</c:v>
                </c:pt>
                <c:pt idx="14">
                  <c:v>127</c:v>
                </c:pt>
                <c:pt idx="15">
                  <c:v>135</c:v>
                </c:pt>
                <c:pt idx="16">
                  <c:v>144</c:v>
                </c:pt>
                <c:pt idx="17">
                  <c:v>149</c:v>
                </c:pt>
                <c:pt idx="18">
                  <c:v>161</c:v>
                </c:pt>
                <c:pt idx="19">
                  <c:v>176</c:v>
                </c:pt>
                <c:pt idx="20">
                  <c:v>190</c:v>
                </c:pt>
                <c:pt idx="21">
                  <c:v>190</c:v>
                </c:pt>
                <c:pt idx="22">
                  <c:v>201</c:v>
                </c:pt>
                <c:pt idx="23">
                  <c:v>210</c:v>
                </c:pt>
              </c:numCache>
            </c:numRef>
          </c:val>
          <c:extLst>
            <c:ext xmlns:c16="http://schemas.microsoft.com/office/drawing/2014/chart" uri="{C3380CC4-5D6E-409C-BE32-E72D297353CC}">
              <c16:uniqueId val="{00000022-3948-4D11-B9FE-E7A7DC43B39A}"/>
            </c:ext>
          </c:extLst>
        </c:ser>
        <c:ser>
          <c:idx val="35"/>
          <c:order val="35"/>
          <c:tx>
            <c:strRef>
              <c:f>Expert!$O$47:$R$47</c:f>
              <c:strCache>
                <c:ptCount val="4"/>
                <c:pt idx="0">
                  <c:v>East</c:v>
                </c:pt>
                <c:pt idx="1">
                  <c:v>Glue Guns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Expert!$S$47:$AP$47</c:f>
              <c:numCache>
                <c:formatCode>General</c:formatCode>
                <c:ptCount val="24"/>
                <c:pt idx="0">
                  <c:v>858</c:v>
                </c:pt>
                <c:pt idx="1">
                  <c:v>908</c:v>
                </c:pt>
                <c:pt idx="2">
                  <c:v>947</c:v>
                </c:pt>
                <c:pt idx="3">
                  <c:v>976</c:v>
                </c:pt>
                <c:pt idx="4">
                  <c:v>997</c:v>
                </c:pt>
                <c:pt idx="5" formatCode="#,##0">
                  <c:v>1024</c:v>
                </c:pt>
                <c:pt idx="6" formatCode="#,##0">
                  <c:v>1086</c:v>
                </c:pt>
                <c:pt idx="7" formatCode="#,##0">
                  <c:v>1122</c:v>
                </c:pt>
                <c:pt idx="8" formatCode="#,##0">
                  <c:v>1170</c:v>
                </c:pt>
                <c:pt idx="9" formatCode="#,##0">
                  <c:v>1204</c:v>
                </c:pt>
                <c:pt idx="10" formatCode="#,##0">
                  <c:v>1316</c:v>
                </c:pt>
                <c:pt idx="11" formatCode="#,##0">
                  <c:v>1338</c:v>
                </c:pt>
                <c:pt idx="12" formatCode="#,##0">
                  <c:v>1341</c:v>
                </c:pt>
                <c:pt idx="13" formatCode="#,##0">
                  <c:v>1455</c:v>
                </c:pt>
                <c:pt idx="14" formatCode="#,##0">
                  <c:v>1462</c:v>
                </c:pt>
                <c:pt idx="15" formatCode="#,##0">
                  <c:v>1577</c:v>
                </c:pt>
                <c:pt idx="16" formatCode="#,##0">
                  <c:v>1734</c:v>
                </c:pt>
                <c:pt idx="17" formatCode="#,##0">
                  <c:v>1757</c:v>
                </c:pt>
                <c:pt idx="18" formatCode="#,##0">
                  <c:v>1779</c:v>
                </c:pt>
                <c:pt idx="19" formatCode="#,##0">
                  <c:v>1807</c:v>
                </c:pt>
                <c:pt idx="20" formatCode="#,##0">
                  <c:v>1809</c:v>
                </c:pt>
                <c:pt idx="21" formatCode="#,##0">
                  <c:v>1963</c:v>
                </c:pt>
                <c:pt idx="22" formatCode="#,##0">
                  <c:v>2148</c:v>
                </c:pt>
                <c:pt idx="23" formatCode="#,##0">
                  <c:v>2183</c:v>
                </c:pt>
              </c:numCache>
            </c:numRef>
          </c:val>
          <c:extLst>
            <c:ext xmlns:c16="http://schemas.microsoft.com/office/drawing/2014/chart" uri="{C3380CC4-5D6E-409C-BE32-E72D297353CC}">
              <c16:uniqueId val="{00000023-3948-4D11-B9FE-E7A7DC43B39A}"/>
            </c:ext>
          </c:extLst>
        </c:ser>
        <c:ser>
          <c:idx val="36"/>
          <c:order val="36"/>
          <c:tx>
            <c:strRef>
              <c:f>Expert!$O$48:$R$48</c:f>
              <c:strCache>
                <c:ptCount val="4"/>
                <c:pt idx="0">
                  <c:v>West</c:v>
                </c:pt>
                <c:pt idx="1">
                  <c:v>Light Sabres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Expert!$S$48:$AP$48</c:f>
              <c:numCache>
                <c:formatCode>General</c:formatCode>
                <c:ptCount val="24"/>
                <c:pt idx="0">
                  <c:v>160</c:v>
                </c:pt>
                <c:pt idx="1">
                  <c:v>162</c:v>
                </c:pt>
                <c:pt idx="2">
                  <c:v>177</c:v>
                </c:pt>
                <c:pt idx="3">
                  <c:v>189</c:v>
                </c:pt>
                <c:pt idx="4">
                  <c:v>200</c:v>
                </c:pt>
                <c:pt idx="5">
                  <c:v>210</c:v>
                </c:pt>
                <c:pt idx="6">
                  <c:v>226</c:v>
                </c:pt>
                <c:pt idx="7">
                  <c:v>240</c:v>
                </c:pt>
                <c:pt idx="8">
                  <c:v>242</c:v>
                </c:pt>
                <c:pt idx="9">
                  <c:v>245</c:v>
                </c:pt>
                <c:pt idx="10">
                  <c:v>254</c:v>
                </c:pt>
                <c:pt idx="11">
                  <c:v>262</c:v>
                </c:pt>
                <c:pt idx="12">
                  <c:v>271</c:v>
                </c:pt>
                <c:pt idx="13">
                  <c:v>279</c:v>
                </c:pt>
                <c:pt idx="14">
                  <c:v>303</c:v>
                </c:pt>
                <c:pt idx="15">
                  <c:v>323</c:v>
                </c:pt>
                <c:pt idx="16">
                  <c:v>353</c:v>
                </c:pt>
                <c:pt idx="17">
                  <c:v>355</c:v>
                </c:pt>
                <c:pt idx="18">
                  <c:v>366</c:v>
                </c:pt>
                <c:pt idx="19">
                  <c:v>398</c:v>
                </c:pt>
                <c:pt idx="20">
                  <c:v>430</c:v>
                </c:pt>
                <c:pt idx="21">
                  <c:v>462</c:v>
                </c:pt>
                <c:pt idx="22">
                  <c:v>467</c:v>
                </c:pt>
                <c:pt idx="23">
                  <c:v>485</c:v>
                </c:pt>
              </c:numCache>
            </c:numRef>
          </c:val>
          <c:extLst>
            <c:ext xmlns:c16="http://schemas.microsoft.com/office/drawing/2014/chart" uri="{C3380CC4-5D6E-409C-BE32-E72D297353CC}">
              <c16:uniqueId val="{00000024-3948-4D11-B9FE-E7A7DC43B39A}"/>
            </c:ext>
          </c:extLst>
        </c:ser>
        <c:ser>
          <c:idx val="37"/>
          <c:order val="37"/>
          <c:tx>
            <c:strRef>
              <c:f>Expert!$O$49:$R$49</c:f>
              <c:strCache>
                <c:ptCount val="4"/>
                <c:pt idx="0">
                  <c:v>West</c:v>
                </c:pt>
                <c:pt idx="1">
                  <c:v>Light Sabres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Expert!$S$49:$AP$49</c:f>
              <c:numCache>
                <c:formatCode>General</c:formatCode>
                <c:ptCount val="24"/>
                <c:pt idx="0">
                  <c:v>559</c:v>
                </c:pt>
                <c:pt idx="1">
                  <c:v>586</c:v>
                </c:pt>
                <c:pt idx="2">
                  <c:v>590</c:v>
                </c:pt>
                <c:pt idx="3">
                  <c:v>597</c:v>
                </c:pt>
                <c:pt idx="4">
                  <c:v>643</c:v>
                </c:pt>
                <c:pt idx="5">
                  <c:v>707</c:v>
                </c:pt>
                <c:pt idx="6">
                  <c:v>768</c:v>
                </c:pt>
                <c:pt idx="7">
                  <c:v>830</c:v>
                </c:pt>
                <c:pt idx="8">
                  <c:v>870</c:v>
                </c:pt>
                <c:pt idx="9">
                  <c:v>948</c:v>
                </c:pt>
                <c:pt idx="10">
                  <c:v>982</c:v>
                </c:pt>
                <c:pt idx="11" formatCode="#,##0">
                  <c:v>1066</c:v>
                </c:pt>
                <c:pt idx="12" formatCode="#,##0">
                  <c:v>1086</c:v>
                </c:pt>
                <c:pt idx="13" formatCode="#,##0">
                  <c:v>1125</c:v>
                </c:pt>
                <c:pt idx="14" formatCode="#,##0">
                  <c:v>1129</c:v>
                </c:pt>
                <c:pt idx="15" formatCode="#,##0">
                  <c:v>1238</c:v>
                </c:pt>
                <c:pt idx="16" formatCode="#,##0">
                  <c:v>1308</c:v>
                </c:pt>
                <c:pt idx="17" formatCode="#,##0">
                  <c:v>1412</c:v>
                </c:pt>
                <c:pt idx="18" formatCode="#,##0">
                  <c:v>1537</c:v>
                </c:pt>
                <c:pt idx="19" formatCode="#,##0">
                  <c:v>1670</c:v>
                </c:pt>
                <c:pt idx="20" formatCode="#,##0">
                  <c:v>1676</c:v>
                </c:pt>
                <c:pt idx="21" formatCode="#,##0">
                  <c:v>1694</c:v>
                </c:pt>
                <c:pt idx="22" formatCode="#,##0">
                  <c:v>1701</c:v>
                </c:pt>
                <c:pt idx="23" formatCode="#,##0">
                  <c:v>1815</c:v>
                </c:pt>
              </c:numCache>
            </c:numRef>
          </c:val>
          <c:extLst>
            <c:ext xmlns:c16="http://schemas.microsoft.com/office/drawing/2014/chart" uri="{C3380CC4-5D6E-409C-BE32-E72D297353CC}">
              <c16:uniqueId val="{00000025-3948-4D11-B9FE-E7A7DC43B39A}"/>
            </c:ext>
          </c:extLst>
        </c:ser>
        <c:ser>
          <c:idx val="38"/>
          <c:order val="38"/>
          <c:tx>
            <c:strRef>
              <c:f>Expert!$O$50:$R$50</c:f>
              <c:strCache>
                <c:ptCount val="4"/>
                <c:pt idx="0">
                  <c:v>West</c:v>
                </c:pt>
                <c:pt idx="1">
                  <c:v>Light Sabres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Expert!$S$50:$AP$50</c:f>
              <c:numCache>
                <c:formatCode>General</c:formatCode>
                <c:ptCount val="24"/>
                <c:pt idx="0">
                  <c:v>892</c:v>
                </c:pt>
                <c:pt idx="1">
                  <c:v>925</c:v>
                </c:pt>
                <c:pt idx="2">
                  <c:v>926</c:v>
                </c:pt>
                <c:pt idx="3">
                  <c:v>937</c:v>
                </c:pt>
                <c:pt idx="4" formatCode="#,##0">
                  <c:v>1006</c:v>
                </c:pt>
                <c:pt idx="5" formatCode="#,##0">
                  <c:v>1067</c:v>
                </c:pt>
                <c:pt idx="6" formatCode="#,##0">
                  <c:v>1073</c:v>
                </c:pt>
                <c:pt idx="7" formatCode="#,##0">
                  <c:v>1093</c:v>
                </c:pt>
                <c:pt idx="8" formatCode="#,##0">
                  <c:v>1194</c:v>
                </c:pt>
                <c:pt idx="9" formatCode="#,##0">
                  <c:v>1200</c:v>
                </c:pt>
                <c:pt idx="10" formatCode="#,##0">
                  <c:v>1206</c:v>
                </c:pt>
                <c:pt idx="11" formatCode="#,##0">
                  <c:v>1302</c:v>
                </c:pt>
                <c:pt idx="12" formatCode="#,##0">
                  <c:v>1362</c:v>
                </c:pt>
                <c:pt idx="13" formatCode="#,##0">
                  <c:v>1442</c:v>
                </c:pt>
                <c:pt idx="14" formatCode="#,##0">
                  <c:v>1532</c:v>
                </c:pt>
                <c:pt idx="15" formatCode="#,##0">
                  <c:v>1533</c:v>
                </c:pt>
                <c:pt idx="16" formatCode="#,##0">
                  <c:v>1587</c:v>
                </c:pt>
                <c:pt idx="17" formatCode="#,##0">
                  <c:v>1737</c:v>
                </c:pt>
                <c:pt idx="18" formatCode="#,##0">
                  <c:v>1884</c:v>
                </c:pt>
                <c:pt idx="19" formatCode="#,##0">
                  <c:v>1994</c:v>
                </c:pt>
                <c:pt idx="20" formatCode="#,##0">
                  <c:v>2153</c:v>
                </c:pt>
                <c:pt idx="21" formatCode="#,##0">
                  <c:v>2292</c:v>
                </c:pt>
                <c:pt idx="22" formatCode="#,##0">
                  <c:v>2314</c:v>
                </c:pt>
                <c:pt idx="23" formatCode="#,##0">
                  <c:v>2529</c:v>
                </c:pt>
              </c:numCache>
            </c:numRef>
          </c:val>
          <c:extLst>
            <c:ext xmlns:c16="http://schemas.microsoft.com/office/drawing/2014/chart" uri="{C3380CC4-5D6E-409C-BE32-E72D297353CC}">
              <c16:uniqueId val="{00000026-3948-4D11-B9FE-E7A7DC43B39A}"/>
            </c:ext>
          </c:extLst>
        </c:ser>
        <c:ser>
          <c:idx val="39"/>
          <c:order val="39"/>
          <c:tx>
            <c:strRef>
              <c:f>Expert!$O$51:$R$51</c:f>
              <c:strCache>
                <c:ptCount val="4"/>
                <c:pt idx="0">
                  <c:v>West</c:v>
                </c:pt>
                <c:pt idx="1">
                  <c:v>Light Sabres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Expert!$S$51:$AP$51</c:f>
              <c:numCache>
                <c:formatCode>General</c:formatCode>
                <c:ptCount val="24"/>
                <c:pt idx="0">
                  <c:v>26</c:v>
                </c:pt>
                <c:pt idx="1">
                  <c:v>28</c:v>
                </c:pt>
                <c:pt idx="2">
                  <c:v>29</c:v>
                </c:pt>
                <c:pt idx="3">
                  <c:v>30</c:v>
                </c:pt>
                <c:pt idx="4">
                  <c:v>31</c:v>
                </c:pt>
                <c:pt idx="5">
                  <c:v>34</c:v>
                </c:pt>
                <c:pt idx="6">
                  <c:v>34</c:v>
                </c:pt>
                <c:pt idx="7">
                  <c:v>38</c:v>
                </c:pt>
                <c:pt idx="8">
                  <c:v>39</c:v>
                </c:pt>
                <c:pt idx="9">
                  <c:v>40</c:v>
                </c:pt>
                <c:pt idx="10">
                  <c:v>41</c:v>
                </c:pt>
                <c:pt idx="11">
                  <c:v>44</c:v>
                </c:pt>
                <c:pt idx="12">
                  <c:v>46</c:v>
                </c:pt>
                <c:pt idx="13">
                  <c:v>46</c:v>
                </c:pt>
                <c:pt idx="14">
                  <c:v>47</c:v>
                </c:pt>
                <c:pt idx="15">
                  <c:v>50</c:v>
                </c:pt>
                <c:pt idx="16">
                  <c:v>52</c:v>
                </c:pt>
                <c:pt idx="17">
                  <c:v>54</c:v>
                </c:pt>
                <c:pt idx="18">
                  <c:v>55</c:v>
                </c:pt>
                <c:pt idx="19">
                  <c:v>57</c:v>
                </c:pt>
                <c:pt idx="20">
                  <c:v>59</c:v>
                </c:pt>
                <c:pt idx="21">
                  <c:v>64</c:v>
                </c:pt>
                <c:pt idx="22">
                  <c:v>69</c:v>
                </c:pt>
                <c:pt idx="23">
                  <c:v>75</c:v>
                </c:pt>
              </c:numCache>
            </c:numRef>
          </c:val>
          <c:extLst>
            <c:ext xmlns:c16="http://schemas.microsoft.com/office/drawing/2014/chart" uri="{C3380CC4-5D6E-409C-BE32-E72D297353CC}">
              <c16:uniqueId val="{00000027-3948-4D11-B9FE-E7A7DC43B39A}"/>
            </c:ext>
          </c:extLst>
        </c:ser>
        <c:ser>
          <c:idx val="40"/>
          <c:order val="40"/>
          <c:tx>
            <c:strRef>
              <c:f>Expert!$O$52:$R$52</c:f>
              <c:strCache>
                <c:ptCount val="4"/>
                <c:pt idx="0">
                  <c:v>West</c:v>
                </c:pt>
                <c:pt idx="1">
                  <c:v>Light Sabres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Expert!$S$52:$AP$52</c:f>
              <c:numCache>
                <c:formatCode>General</c:formatCode>
                <c:ptCount val="24"/>
                <c:pt idx="0">
                  <c:v>685</c:v>
                </c:pt>
                <c:pt idx="1">
                  <c:v>709</c:v>
                </c:pt>
                <c:pt idx="2">
                  <c:v>711</c:v>
                </c:pt>
                <c:pt idx="3">
                  <c:v>778</c:v>
                </c:pt>
                <c:pt idx="4">
                  <c:v>829</c:v>
                </c:pt>
                <c:pt idx="5">
                  <c:v>908</c:v>
                </c:pt>
                <c:pt idx="6">
                  <c:v>919</c:v>
                </c:pt>
                <c:pt idx="7">
                  <c:v>993</c:v>
                </c:pt>
                <c:pt idx="8">
                  <c:v>995</c:v>
                </c:pt>
                <c:pt idx="9" formatCode="#,##0">
                  <c:v>1069</c:v>
                </c:pt>
                <c:pt idx="10" formatCode="#,##0">
                  <c:v>1128</c:v>
                </c:pt>
                <c:pt idx="11" formatCode="#,##0">
                  <c:v>1198</c:v>
                </c:pt>
                <c:pt idx="12" formatCode="#,##0">
                  <c:v>1249</c:v>
                </c:pt>
                <c:pt idx="13" formatCode="#,##0">
                  <c:v>1361</c:v>
                </c:pt>
                <c:pt idx="14" formatCode="#,##0">
                  <c:v>1444</c:v>
                </c:pt>
                <c:pt idx="15" formatCode="#,##0">
                  <c:v>1575</c:v>
                </c:pt>
                <c:pt idx="16" formatCode="#,##0">
                  <c:v>1670</c:v>
                </c:pt>
                <c:pt idx="17" formatCode="#,##0">
                  <c:v>1774</c:v>
                </c:pt>
                <c:pt idx="18" formatCode="#,##0">
                  <c:v>1874</c:v>
                </c:pt>
                <c:pt idx="19" formatCode="#,##0">
                  <c:v>1891</c:v>
                </c:pt>
                <c:pt idx="20" formatCode="#,##0">
                  <c:v>1931</c:v>
                </c:pt>
                <c:pt idx="21" formatCode="#,##0">
                  <c:v>1939</c:v>
                </c:pt>
                <c:pt idx="22" formatCode="#,##0">
                  <c:v>1941</c:v>
                </c:pt>
                <c:pt idx="23" formatCode="#,##0">
                  <c:v>2038</c:v>
                </c:pt>
              </c:numCache>
            </c:numRef>
          </c:val>
          <c:extLst>
            <c:ext xmlns:c16="http://schemas.microsoft.com/office/drawing/2014/chart" uri="{C3380CC4-5D6E-409C-BE32-E72D297353CC}">
              <c16:uniqueId val="{00000028-3948-4D11-B9FE-E7A7DC43B39A}"/>
            </c:ext>
          </c:extLst>
        </c:ser>
        <c:ser>
          <c:idx val="41"/>
          <c:order val="41"/>
          <c:tx>
            <c:strRef>
              <c:f>Expert!$O$53:$R$53</c:f>
              <c:strCache>
                <c:ptCount val="4"/>
                <c:pt idx="0">
                  <c:v>West</c:v>
                </c:pt>
                <c:pt idx="1">
                  <c:v>Light Sabres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Expert!$S$53:$AP$53</c:f>
              <c:numCache>
                <c:formatCode>General</c:formatCode>
                <c:ptCount val="24"/>
                <c:pt idx="0">
                  <c:v>366</c:v>
                </c:pt>
                <c:pt idx="1">
                  <c:v>397</c:v>
                </c:pt>
                <c:pt idx="2">
                  <c:v>432</c:v>
                </c:pt>
                <c:pt idx="3">
                  <c:v>455</c:v>
                </c:pt>
                <c:pt idx="4">
                  <c:v>474</c:v>
                </c:pt>
                <c:pt idx="5">
                  <c:v>508</c:v>
                </c:pt>
                <c:pt idx="6">
                  <c:v>544</c:v>
                </c:pt>
                <c:pt idx="7">
                  <c:v>553</c:v>
                </c:pt>
                <c:pt idx="8">
                  <c:v>578</c:v>
                </c:pt>
                <c:pt idx="9">
                  <c:v>589</c:v>
                </c:pt>
                <c:pt idx="10">
                  <c:v>627</c:v>
                </c:pt>
                <c:pt idx="11">
                  <c:v>678</c:v>
                </c:pt>
                <c:pt idx="12">
                  <c:v>738</c:v>
                </c:pt>
                <c:pt idx="13">
                  <c:v>764</c:v>
                </c:pt>
                <c:pt idx="14">
                  <c:v>818</c:v>
                </c:pt>
                <c:pt idx="15">
                  <c:v>828</c:v>
                </c:pt>
                <c:pt idx="16">
                  <c:v>888</c:v>
                </c:pt>
                <c:pt idx="17">
                  <c:v>929</c:v>
                </c:pt>
                <c:pt idx="18">
                  <c:v>986</c:v>
                </c:pt>
                <c:pt idx="19" formatCode="#,##0">
                  <c:v>1073</c:v>
                </c:pt>
                <c:pt idx="20" formatCode="#,##0">
                  <c:v>1120</c:v>
                </c:pt>
                <c:pt idx="21" formatCode="#,##0">
                  <c:v>1142</c:v>
                </c:pt>
                <c:pt idx="22" formatCode="#,##0">
                  <c:v>1203</c:v>
                </c:pt>
                <c:pt idx="23" formatCode="#,##0">
                  <c:v>1309</c:v>
                </c:pt>
              </c:numCache>
            </c:numRef>
          </c:val>
          <c:extLst>
            <c:ext xmlns:c16="http://schemas.microsoft.com/office/drawing/2014/chart" uri="{C3380CC4-5D6E-409C-BE32-E72D297353CC}">
              <c16:uniqueId val="{00000029-3948-4D11-B9FE-E7A7DC43B39A}"/>
            </c:ext>
          </c:extLst>
        </c:ser>
        <c:ser>
          <c:idx val="42"/>
          <c:order val="42"/>
          <c:tx>
            <c:strRef>
              <c:f>Expert!$O$54:$R$54</c:f>
              <c:strCache>
                <c:ptCount val="4"/>
                <c:pt idx="0">
                  <c:v>West</c:v>
                </c:pt>
                <c:pt idx="1">
                  <c:v>Light Sabres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Expert!$S$54:$AP$54</c:f>
              <c:numCache>
                <c:formatCode>General</c:formatCode>
                <c:ptCount val="24"/>
                <c:pt idx="0">
                  <c:v>192</c:v>
                </c:pt>
                <c:pt idx="1">
                  <c:v>198</c:v>
                </c:pt>
                <c:pt idx="2">
                  <c:v>214</c:v>
                </c:pt>
                <c:pt idx="3">
                  <c:v>215</c:v>
                </c:pt>
                <c:pt idx="4">
                  <c:v>220</c:v>
                </c:pt>
                <c:pt idx="5">
                  <c:v>224</c:v>
                </c:pt>
                <c:pt idx="6">
                  <c:v>228</c:v>
                </c:pt>
                <c:pt idx="7">
                  <c:v>240</c:v>
                </c:pt>
                <c:pt idx="8">
                  <c:v>249</c:v>
                </c:pt>
                <c:pt idx="9">
                  <c:v>270</c:v>
                </c:pt>
                <c:pt idx="10">
                  <c:v>287</c:v>
                </c:pt>
                <c:pt idx="11">
                  <c:v>302</c:v>
                </c:pt>
                <c:pt idx="12">
                  <c:v>325</c:v>
                </c:pt>
                <c:pt idx="13">
                  <c:v>350</c:v>
                </c:pt>
                <c:pt idx="14">
                  <c:v>362</c:v>
                </c:pt>
                <c:pt idx="15">
                  <c:v>396</c:v>
                </c:pt>
                <c:pt idx="16">
                  <c:v>404</c:v>
                </c:pt>
                <c:pt idx="17">
                  <c:v>407</c:v>
                </c:pt>
                <c:pt idx="18">
                  <c:v>419</c:v>
                </c:pt>
                <c:pt idx="19">
                  <c:v>458</c:v>
                </c:pt>
                <c:pt idx="20">
                  <c:v>464</c:v>
                </c:pt>
                <c:pt idx="21">
                  <c:v>494</c:v>
                </c:pt>
                <c:pt idx="22">
                  <c:v>538</c:v>
                </c:pt>
                <c:pt idx="23">
                  <c:v>562</c:v>
                </c:pt>
              </c:numCache>
            </c:numRef>
          </c:val>
          <c:extLst>
            <c:ext xmlns:c16="http://schemas.microsoft.com/office/drawing/2014/chart" uri="{C3380CC4-5D6E-409C-BE32-E72D297353CC}">
              <c16:uniqueId val="{0000002A-3948-4D11-B9FE-E7A7DC43B39A}"/>
            </c:ext>
          </c:extLst>
        </c:ser>
        <c:ser>
          <c:idx val="43"/>
          <c:order val="43"/>
          <c:tx>
            <c:strRef>
              <c:f>Expert!$O$55:$R$55</c:f>
              <c:strCache>
                <c:ptCount val="4"/>
                <c:pt idx="0">
                  <c:v>West</c:v>
                </c:pt>
                <c:pt idx="1">
                  <c:v>Light Sabres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Expert!$S$55:$AP$55</c:f>
              <c:numCache>
                <c:formatCode>General</c:formatCode>
                <c:ptCount val="24"/>
                <c:pt idx="0">
                  <c:v>135</c:v>
                </c:pt>
                <c:pt idx="1">
                  <c:v>139</c:v>
                </c:pt>
                <c:pt idx="2">
                  <c:v>152</c:v>
                </c:pt>
                <c:pt idx="3">
                  <c:v>165</c:v>
                </c:pt>
                <c:pt idx="4">
                  <c:v>178</c:v>
                </c:pt>
                <c:pt idx="5">
                  <c:v>194</c:v>
                </c:pt>
                <c:pt idx="6">
                  <c:v>194</c:v>
                </c:pt>
                <c:pt idx="7">
                  <c:v>203</c:v>
                </c:pt>
                <c:pt idx="8">
                  <c:v>205</c:v>
                </c:pt>
                <c:pt idx="9">
                  <c:v>221</c:v>
                </c:pt>
                <c:pt idx="10">
                  <c:v>231</c:v>
                </c:pt>
                <c:pt idx="11">
                  <c:v>235</c:v>
                </c:pt>
                <c:pt idx="12">
                  <c:v>251</c:v>
                </c:pt>
                <c:pt idx="13">
                  <c:v>253</c:v>
                </c:pt>
                <c:pt idx="14">
                  <c:v>262</c:v>
                </c:pt>
                <c:pt idx="15">
                  <c:v>266</c:v>
                </c:pt>
                <c:pt idx="16">
                  <c:v>284</c:v>
                </c:pt>
                <c:pt idx="17">
                  <c:v>285</c:v>
                </c:pt>
                <c:pt idx="18">
                  <c:v>294</c:v>
                </c:pt>
                <c:pt idx="19">
                  <c:v>301</c:v>
                </c:pt>
                <c:pt idx="20">
                  <c:v>324</c:v>
                </c:pt>
                <c:pt idx="21">
                  <c:v>341</c:v>
                </c:pt>
                <c:pt idx="22">
                  <c:v>357</c:v>
                </c:pt>
                <c:pt idx="23">
                  <c:v>373</c:v>
                </c:pt>
              </c:numCache>
            </c:numRef>
          </c:val>
          <c:extLst>
            <c:ext xmlns:c16="http://schemas.microsoft.com/office/drawing/2014/chart" uri="{C3380CC4-5D6E-409C-BE32-E72D297353CC}">
              <c16:uniqueId val="{0000002B-3948-4D11-B9FE-E7A7DC43B39A}"/>
            </c:ext>
          </c:extLst>
        </c:ser>
        <c:ser>
          <c:idx val="44"/>
          <c:order val="44"/>
          <c:tx>
            <c:strRef>
              <c:f>Expert!$O$56:$R$56</c:f>
              <c:strCache>
                <c:ptCount val="4"/>
                <c:pt idx="0">
                  <c:v>West</c:v>
                </c:pt>
                <c:pt idx="1">
                  <c:v>Light Sabres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Expert!$S$56:$AP$56</c:f>
              <c:numCache>
                <c:formatCode>General</c:formatCode>
                <c:ptCount val="24"/>
                <c:pt idx="0">
                  <c:v>177</c:v>
                </c:pt>
                <c:pt idx="1">
                  <c:v>184</c:v>
                </c:pt>
                <c:pt idx="2">
                  <c:v>201</c:v>
                </c:pt>
                <c:pt idx="3">
                  <c:v>219</c:v>
                </c:pt>
                <c:pt idx="4">
                  <c:v>241</c:v>
                </c:pt>
                <c:pt idx="5">
                  <c:v>254</c:v>
                </c:pt>
                <c:pt idx="6">
                  <c:v>269</c:v>
                </c:pt>
                <c:pt idx="7">
                  <c:v>279</c:v>
                </c:pt>
                <c:pt idx="8">
                  <c:v>287</c:v>
                </c:pt>
                <c:pt idx="9">
                  <c:v>304</c:v>
                </c:pt>
                <c:pt idx="10">
                  <c:v>331</c:v>
                </c:pt>
                <c:pt idx="11">
                  <c:v>340</c:v>
                </c:pt>
                <c:pt idx="12">
                  <c:v>361</c:v>
                </c:pt>
                <c:pt idx="13">
                  <c:v>366</c:v>
                </c:pt>
                <c:pt idx="14">
                  <c:v>376</c:v>
                </c:pt>
                <c:pt idx="15">
                  <c:v>406</c:v>
                </c:pt>
                <c:pt idx="16">
                  <c:v>428</c:v>
                </c:pt>
                <c:pt idx="17">
                  <c:v>433</c:v>
                </c:pt>
                <c:pt idx="18">
                  <c:v>442</c:v>
                </c:pt>
                <c:pt idx="19">
                  <c:v>459</c:v>
                </c:pt>
                <c:pt idx="20">
                  <c:v>475</c:v>
                </c:pt>
                <c:pt idx="21">
                  <c:v>508</c:v>
                </c:pt>
                <c:pt idx="22">
                  <c:v>554</c:v>
                </c:pt>
                <c:pt idx="23">
                  <c:v>567</c:v>
                </c:pt>
              </c:numCache>
            </c:numRef>
          </c:val>
          <c:extLst>
            <c:ext xmlns:c16="http://schemas.microsoft.com/office/drawing/2014/chart" uri="{C3380CC4-5D6E-409C-BE32-E72D297353CC}">
              <c16:uniqueId val="{0000002C-3948-4D11-B9FE-E7A7DC43B39A}"/>
            </c:ext>
          </c:extLst>
        </c:ser>
        <c:ser>
          <c:idx val="45"/>
          <c:order val="45"/>
          <c:tx>
            <c:strRef>
              <c:f>Expert!$O$57:$R$57</c:f>
              <c:strCache>
                <c:ptCount val="4"/>
                <c:pt idx="0">
                  <c:v>West</c:v>
                </c:pt>
                <c:pt idx="1">
                  <c:v>Light Sabres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Expert!$S$57:$AP$57</c:f>
              <c:numCache>
                <c:formatCode>General</c:formatCode>
                <c:ptCount val="24"/>
                <c:pt idx="0">
                  <c:v>213</c:v>
                </c:pt>
                <c:pt idx="1">
                  <c:v>224</c:v>
                </c:pt>
                <c:pt idx="2">
                  <c:v>242</c:v>
                </c:pt>
                <c:pt idx="3">
                  <c:v>246</c:v>
                </c:pt>
                <c:pt idx="4">
                  <c:v>270</c:v>
                </c:pt>
                <c:pt idx="5">
                  <c:v>283</c:v>
                </c:pt>
                <c:pt idx="6">
                  <c:v>295</c:v>
                </c:pt>
                <c:pt idx="7">
                  <c:v>305</c:v>
                </c:pt>
                <c:pt idx="8">
                  <c:v>324</c:v>
                </c:pt>
                <c:pt idx="9">
                  <c:v>339</c:v>
                </c:pt>
                <c:pt idx="10">
                  <c:v>342</c:v>
                </c:pt>
                <c:pt idx="11">
                  <c:v>365</c:v>
                </c:pt>
                <c:pt idx="12">
                  <c:v>388</c:v>
                </c:pt>
                <c:pt idx="13">
                  <c:v>412</c:v>
                </c:pt>
                <c:pt idx="14">
                  <c:v>433</c:v>
                </c:pt>
                <c:pt idx="15">
                  <c:v>463</c:v>
                </c:pt>
                <c:pt idx="16">
                  <c:v>486</c:v>
                </c:pt>
                <c:pt idx="17">
                  <c:v>503</c:v>
                </c:pt>
                <c:pt idx="18">
                  <c:v>526</c:v>
                </c:pt>
                <c:pt idx="19">
                  <c:v>570</c:v>
                </c:pt>
                <c:pt idx="20">
                  <c:v>625</c:v>
                </c:pt>
                <c:pt idx="21">
                  <c:v>626</c:v>
                </c:pt>
                <c:pt idx="22">
                  <c:v>649</c:v>
                </c:pt>
                <c:pt idx="23">
                  <c:v>657</c:v>
                </c:pt>
              </c:numCache>
            </c:numRef>
          </c:val>
          <c:extLst>
            <c:ext xmlns:c16="http://schemas.microsoft.com/office/drawing/2014/chart" uri="{C3380CC4-5D6E-409C-BE32-E72D297353CC}">
              <c16:uniqueId val="{0000002D-3948-4D11-B9FE-E7A7DC43B39A}"/>
            </c:ext>
          </c:extLst>
        </c:ser>
        <c:ser>
          <c:idx val="46"/>
          <c:order val="46"/>
          <c:tx>
            <c:strRef>
              <c:f>Expert!$O$58:$R$58</c:f>
              <c:strCache>
                <c:ptCount val="4"/>
                <c:pt idx="0">
                  <c:v>West</c:v>
                </c:pt>
                <c:pt idx="1">
                  <c:v>Light Sabres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Expert!$S$58:$AP$58</c:f>
              <c:numCache>
                <c:formatCode>General</c:formatCode>
                <c:ptCount val="24"/>
                <c:pt idx="0">
                  <c:v>162</c:v>
                </c:pt>
                <c:pt idx="1">
                  <c:v>166</c:v>
                </c:pt>
                <c:pt idx="2">
                  <c:v>182</c:v>
                </c:pt>
                <c:pt idx="3">
                  <c:v>199</c:v>
                </c:pt>
                <c:pt idx="4">
                  <c:v>202</c:v>
                </c:pt>
                <c:pt idx="5">
                  <c:v>221</c:v>
                </c:pt>
                <c:pt idx="6">
                  <c:v>233</c:v>
                </c:pt>
                <c:pt idx="7">
                  <c:v>248</c:v>
                </c:pt>
                <c:pt idx="8">
                  <c:v>272</c:v>
                </c:pt>
                <c:pt idx="9">
                  <c:v>278</c:v>
                </c:pt>
                <c:pt idx="10">
                  <c:v>281</c:v>
                </c:pt>
                <c:pt idx="11">
                  <c:v>286</c:v>
                </c:pt>
                <c:pt idx="12">
                  <c:v>312</c:v>
                </c:pt>
                <c:pt idx="13">
                  <c:v>323</c:v>
                </c:pt>
                <c:pt idx="14">
                  <c:v>345</c:v>
                </c:pt>
                <c:pt idx="15">
                  <c:v>355</c:v>
                </c:pt>
                <c:pt idx="16">
                  <c:v>387</c:v>
                </c:pt>
                <c:pt idx="17">
                  <c:v>389</c:v>
                </c:pt>
                <c:pt idx="18">
                  <c:v>411</c:v>
                </c:pt>
                <c:pt idx="19">
                  <c:v>450</c:v>
                </c:pt>
                <c:pt idx="20">
                  <c:v>461</c:v>
                </c:pt>
                <c:pt idx="21">
                  <c:v>468</c:v>
                </c:pt>
                <c:pt idx="22">
                  <c:v>476</c:v>
                </c:pt>
                <c:pt idx="23">
                  <c:v>500</c:v>
                </c:pt>
              </c:numCache>
            </c:numRef>
          </c:val>
          <c:extLst>
            <c:ext xmlns:c16="http://schemas.microsoft.com/office/drawing/2014/chart" uri="{C3380CC4-5D6E-409C-BE32-E72D297353CC}">
              <c16:uniqueId val="{0000002E-3948-4D11-B9FE-E7A7DC43B39A}"/>
            </c:ext>
          </c:extLst>
        </c:ser>
        <c:ser>
          <c:idx val="47"/>
          <c:order val="47"/>
          <c:tx>
            <c:strRef>
              <c:f>Expert!$O$59:$R$59</c:f>
              <c:strCache>
                <c:ptCount val="4"/>
                <c:pt idx="0">
                  <c:v>West</c:v>
                </c:pt>
                <c:pt idx="1">
                  <c:v>Light Sabres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Expert!$S$59:$AP$59</c:f>
              <c:numCache>
                <c:formatCode>General</c:formatCode>
                <c:ptCount val="24"/>
                <c:pt idx="0">
                  <c:v>288</c:v>
                </c:pt>
                <c:pt idx="1">
                  <c:v>304</c:v>
                </c:pt>
                <c:pt idx="2">
                  <c:v>307</c:v>
                </c:pt>
                <c:pt idx="3">
                  <c:v>329</c:v>
                </c:pt>
                <c:pt idx="4">
                  <c:v>352</c:v>
                </c:pt>
                <c:pt idx="5">
                  <c:v>355</c:v>
                </c:pt>
                <c:pt idx="6">
                  <c:v>390</c:v>
                </c:pt>
                <c:pt idx="7">
                  <c:v>401</c:v>
                </c:pt>
                <c:pt idx="8">
                  <c:v>412</c:v>
                </c:pt>
                <c:pt idx="9">
                  <c:v>435</c:v>
                </c:pt>
                <c:pt idx="10">
                  <c:v>476</c:v>
                </c:pt>
                <c:pt idx="11">
                  <c:v>478</c:v>
                </c:pt>
                <c:pt idx="12">
                  <c:v>522</c:v>
                </c:pt>
                <c:pt idx="13">
                  <c:v>526</c:v>
                </c:pt>
                <c:pt idx="14">
                  <c:v>576</c:v>
                </c:pt>
                <c:pt idx="15">
                  <c:v>609</c:v>
                </c:pt>
                <c:pt idx="16">
                  <c:v>649</c:v>
                </c:pt>
                <c:pt idx="17">
                  <c:v>689</c:v>
                </c:pt>
                <c:pt idx="18">
                  <c:v>697</c:v>
                </c:pt>
                <c:pt idx="19">
                  <c:v>704</c:v>
                </c:pt>
                <c:pt idx="20">
                  <c:v>749</c:v>
                </c:pt>
                <c:pt idx="21">
                  <c:v>759</c:v>
                </c:pt>
                <c:pt idx="22">
                  <c:v>800</c:v>
                </c:pt>
                <c:pt idx="23">
                  <c:v>851</c:v>
                </c:pt>
              </c:numCache>
            </c:numRef>
          </c:val>
          <c:extLst>
            <c:ext xmlns:c16="http://schemas.microsoft.com/office/drawing/2014/chart" uri="{C3380CC4-5D6E-409C-BE32-E72D297353CC}">
              <c16:uniqueId val="{0000002F-3948-4D11-B9FE-E7A7DC43B39A}"/>
            </c:ext>
          </c:extLst>
        </c:ser>
        <c:ser>
          <c:idx val="48"/>
          <c:order val="48"/>
          <c:tx>
            <c:strRef>
              <c:f>Expert!$O$60:$R$60</c:f>
              <c:strCache>
                <c:ptCount val="4"/>
                <c:pt idx="0">
                  <c:v>West</c:v>
                </c:pt>
                <c:pt idx="1">
                  <c:v>Transponders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Expert!$S$60:$AP$60</c:f>
              <c:numCache>
                <c:formatCode>General</c:formatCode>
                <c:ptCount val="24"/>
                <c:pt idx="0">
                  <c:v>162</c:v>
                </c:pt>
                <c:pt idx="1">
                  <c:v>178</c:v>
                </c:pt>
                <c:pt idx="2">
                  <c:v>195</c:v>
                </c:pt>
                <c:pt idx="3">
                  <c:v>196</c:v>
                </c:pt>
                <c:pt idx="4">
                  <c:v>206</c:v>
                </c:pt>
                <c:pt idx="5">
                  <c:v>221</c:v>
                </c:pt>
                <c:pt idx="6">
                  <c:v>227</c:v>
                </c:pt>
                <c:pt idx="7">
                  <c:v>234</c:v>
                </c:pt>
                <c:pt idx="8">
                  <c:v>255</c:v>
                </c:pt>
                <c:pt idx="9">
                  <c:v>259</c:v>
                </c:pt>
                <c:pt idx="10">
                  <c:v>285</c:v>
                </c:pt>
                <c:pt idx="11">
                  <c:v>310</c:v>
                </c:pt>
                <c:pt idx="12">
                  <c:v>327</c:v>
                </c:pt>
                <c:pt idx="13">
                  <c:v>346</c:v>
                </c:pt>
                <c:pt idx="14">
                  <c:v>379</c:v>
                </c:pt>
                <c:pt idx="15">
                  <c:v>399</c:v>
                </c:pt>
                <c:pt idx="16">
                  <c:v>402</c:v>
                </c:pt>
                <c:pt idx="17">
                  <c:v>410</c:v>
                </c:pt>
                <c:pt idx="18">
                  <c:v>436</c:v>
                </c:pt>
                <c:pt idx="19">
                  <c:v>451</c:v>
                </c:pt>
                <c:pt idx="20">
                  <c:v>460</c:v>
                </c:pt>
                <c:pt idx="21">
                  <c:v>500</c:v>
                </c:pt>
                <c:pt idx="22">
                  <c:v>539</c:v>
                </c:pt>
                <c:pt idx="23">
                  <c:v>553</c:v>
                </c:pt>
              </c:numCache>
            </c:numRef>
          </c:val>
          <c:extLst>
            <c:ext xmlns:c16="http://schemas.microsoft.com/office/drawing/2014/chart" uri="{C3380CC4-5D6E-409C-BE32-E72D297353CC}">
              <c16:uniqueId val="{00000030-3948-4D11-B9FE-E7A7DC43B39A}"/>
            </c:ext>
          </c:extLst>
        </c:ser>
        <c:ser>
          <c:idx val="49"/>
          <c:order val="49"/>
          <c:tx>
            <c:strRef>
              <c:f>Expert!$O$61:$R$61</c:f>
              <c:strCache>
                <c:ptCount val="4"/>
                <c:pt idx="0">
                  <c:v>West</c:v>
                </c:pt>
                <c:pt idx="1">
                  <c:v>Transponders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Expert!$S$61:$AP$61</c:f>
              <c:numCache>
                <c:formatCode>General</c:formatCode>
                <c:ptCount val="24"/>
                <c:pt idx="0">
                  <c:v>436</c:v>
                </c:pt>
                <c:pt idx="1">
                  <c:v>438</c:v>
                </c:pt>
                <c:pt idx="2">
                  <c:v>471</c:v>
                </c:pt>
                <c:pt idx="3">
                  <c:v>492</c:v>
                </c:pt>
                <c:pt idx="4">
                  <c:v>511</c:v>
                </c:pt>
                <c:pt idx="5">
                  <c:v>546</c:v>
                </c:pt>
                <c:pt idx="6">
                  <c:v>558</c:v>
                </c:pt>
                <c:pt idx="7">
                  <c:v>591</c:v>
                </c:pt>
                <c:pt idx="8">
                  <c:v>614</c:v>
                </c:pt>
                <c:pt idx="9">
                  <c:v>623</c:v>
                </c:pt>
                <c:pt idx="10">
                  <c:v>656</c:v>
                </c:pt>
                <c:pt idx="11">
                  <c:v>689</c:v>
                </c:pt>
                <c:pt idx="12">
                  <c:v>753</c:v>
                </c:pt>
                <c:pt idx="13">
                  <c:v>755</c:v>
                </c:pt>
                <c:pt idx="14">
                  <c:v>800</c:v>
                </c:pt>
                <c:pt idx="15">
                  <c:v>862</c:v>
                </c:pt>
                <c:pt idx="16">
                  <c:v>926</c:v>
                </c:pt>
                <c:pt idx="17">
                  <c:v>955</c:v>
                </c:pt>
                <c:pt idx="18" formatCode="#,##0">
                  <c:v>1025</c:v>
                </c:pt>
                <c:pt idx="19" formatCode="#,##0">
                  <c:v>1046</c:v>
                </c:pt>
                <c:pt idx="20" formatCode="#,##0">
                  <c:v>1052</c:v>
                </c:pt>
                <c:pt idx="21" formatCode="#,##0">
                  <c:v>1084</c:v>
                </c:pt>
                <c:pt idx="22" formatCode="#,##0">
                  <c:v>1085</c:v>
                </c:pt>
                <c:pt idx="23" formatCode="#,##0">
                  <c:v>1086</c:v>
                </c:pt>
              </c:numCache>
            </c:numRef>
          </c:val>
          <c:extLst>
            <c:ext xmlns:c16="http://schemas.microsoft.com/office/drawing/2014/chart" uri="{C3380CC4-5D6E-409C-BE32-E72D297353CC}">
              <c16:uniqueId val="{00000031-3948-4D11-B9FE-E7A7DC43B39A}"/>
            </c:ext>
          </c:extLst>
        </c:ser>
        <c:ser>
          <c:idx val="50"/>
          <c:order val="50"/>
          <c:tx>
            <c:strRef>
              <c:f>Expert!$O$62:$R$62</c:f>
              <c:strCache>
                <c:ptCount val="4"/>
                <c:pt idx="0">
                  <c:v>West</c:v>
                </c:pt>
                <c:pt idx="1">
                  <c:v>Transponders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Expert!$S$62:$AP$62</c:f>
              <c:numCache>
                <c:formatCode>General</c:formatCode>
                <c:ptCount val="24"/>
                <c:pt idx="0">
                  <c:v>71</c:v>
                </c:pt>
                <c:pt idx="1">
                  <c:v>71</c:v>
                </c:pt>
                <c:pt idx="2">
                  <c:v>74</c:v>
                </c:pt>
                <c:pt idx="3">
                  <c:v>77</c:v>
                </c:pt>
                <c:pt idx="4">
                  <c:v>79</c:v>
                </c:pt>
                <c:pt idx="5">
                  <c:v>83</c:v>
                </c:pt>
                <c:pt idx="6">
                  <c:v>90</c:v>
                </c:pt>
                <c:pt idx="7">
                  <c:v>98</c:v>
                </c:pt>
                <c:pt idx="8">
                  <c:v>107</c:v>
                </c:pt>
                <c:pt idx="9">
                  <c:v>115</c:v>
                </c:pt>
                <c:pt idx="10">
                  <c:v>123</c:v>
                </c:pt>
                <c:pt idx="11">
                  <c:v>132</c:v>
                </c:pt>
                <c:pt idx="12">
                  <c:v>145</c:v>
                </c:pt>
                <c:pt idx="13">
                  <c:v>153</c:v>
                </c:pt>
                <c:pt idx="14">
                  <c:v>162</c:v>
                </c:pt>
                <c:pt idx="15">
                  <c:v>175</c:v>
                </c:pt>
                <c:pt idx="16">
                  <c:v>192</c:v>
                </c:pt>
                <c:pt idx="17">
                  <c:v>200</c:v>
                </c:pt>
                <c:pt idx="18">
                  <c:v>216</c:v>
                </c:pt>
                <c:pt idx="19">
                  <c:v>226</c:v>
                </c:pt>
                <c:pt idx="20">
                  <c:v>231</c:v>
                </c:pt>
                <c:pt idx="21">
                  <c:v>246</c:v>
                </c:pt>
                <c:pt idx="22">
                  <c:v>248</c:v>
                </c:pt>
                <c:pt idx="23">
                  <c:v>258</c:v>
                </c:pt>
              </c:numCache>
            </c:numRef>
          </c:val>
          <c:extLst>
            <c:ext xmlns:c16="http://schemas.microsoft.com/office/drawing/2014/chart" uri="{C3380CC4-5D6E-409C-BE32-E72D297353CC}">
              <c16:uniqueId val="{00000032-3948-4D11-B9FE-E7A7DC43B39A}"/>
            </c:ext>
          </c:extLst>
        </c:ser>
        <c:ser>
          <c:idx val="51"/>
          <c:order val="51"/>
          <c:tx>
            <c:strRef>
              <c:f>Expert!$O$63:$R$63</c:f>
              <c:strCache>
                <c:ptCount val="4"/>
                <c:pt idx="0">
                  <c:v>West</c:v>
                </c:pt>
                <c:pt idx="1">
                  <c:v>Transponders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Expert!$S$63:$AP$63</c:f>
              <c:numCache>
                <c:formatCode>General</c:formatCode>
                <c:ptCount val="24"/>
                <c:pt idx="0">
                  <c:v>902</c:v>
                </c:pt>
                <c:pt idx="1">
                  <c:v>933</c:v>
                </c:pt>
                <c:pt idx="2">
                  <c:v>940</c:v>
                </c:pt>
                <c:pt idx="3" formatCode="#,##0">
                  <c:v>1014</c:v>
                </c:pt>
                <c:pt idx="4" formatCode="#,##0">
                  <c:v>1103</c:v>
                </c:pt>
                <c:pt idx="5" formatCode="#,##0">
                  <c:v>1163</c:v>
                </c:pt>
                <c:pt idx="6" formatCode="#,##0">
                  <c:v>1272</c:v>
                </c:pt>
                <c:pt idx="7" formatCode="#,##0">
                  <c:v>1286</c:v>
                </c:pt>
                <c:pt idx="8" formatCode="#,##0">
                  <c:v>1373</c:v>
                </c:pt>
                <c:pt idx="9" formatCode="#,##0">
                  <c:v>1427</c:v>
                </c:pt>
                <c:pt idx="10" formatCode="#,##0">
                  <c:v>1510</c:v>
                </c:pt>
                <c:pt idx="11" formatCode="#,##0">
                  <c:v>1570</c:v>
                </c:pt>
                <c:pt idx="12" formatCode="#,##0">
                  <c:v>1644</c:v>
                </c:pt>
                <c:pt idx="13" formatCode="#,##0">
                  <c:v>1662</c:v>
                </c:pt>
                <c:pt idx="14" formatCode="#,##0">
                  <c:v>1818</c:v>
                </c:pt>
                <c:pt idx="15" formatCode="#,##0">
                  <c:v>1963</c:v>
                </c:pt>
                <c:pt idx="16" formatCode="#,##0">
                  <c:v>2064</c:v>
                </c:pt>
                <c:pt idx="17" formatCode="#,##0">
                  <c:v>2254</c:v>
                </c:pt>
                <c:pt idx="18" formatCode="#,##0">
                  <c:v>2362</c:v>
                </c:pt>
                <c:pt idx="19" formatCode="#,##0">
                  <c:v>2397</c:v>
                </c:pt>
                <c:pt idx="20" formatCode="#,##0">
                  <c:v>2610</c:v>
                </c:pt>
                <c:pt idx="21" formatCode="#,##0">
                  <c:v>2633</c:v>
                </c:pt>
                <c:pt idx="22" formatCode="#,##0">
                  <c:v>2685</c:v>
                </c:pt>
                <c:pt idx="23" formatCode="#,##0">
                  <c:v>2738</c:v>
                </c:pt>
              </c:numCache>
            </c:numRef>
          </c:val>
          <c:extLst>
            <c:ext xmlns:c16="http://schemas.microsoft.com/office/drawing/2014/chart" uri="{C3380CC4-5D6E-409C-BE32-E72D297353CC}">
              <c16:uniqueId val="{00000033-3948-4D11-B9FE-E7A7DC43B39A}"/>
            </c:ext>
          </c:extLst>
        </c:ser>
        <c:ser>
          <c:idx val="52"/>
          <c:order val="52"/>
          <c:tx>
            <c:strRef>
              <c:f>Expert!$O$64:$R$64</c:f>
              <c:strCache>
                <c:ptCount val="4"/>
                <c:pt idx="0">
                  <c:v>West</c:v>
                </c:pt>
                <c:pt idx="1">
                  <c:v>Transponders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Expert!$S$64:$AP$64</c:f>
              <c:numCache>
                <c:formatCode>General</c:formatCode>
                <c:ptCount val="24"/>
                <c:pt idx="0">
                  <c:v>437</c:v>
                </c:pt>
                <c:pt idx="1">
                  <c:v>448</c:v>
                </c:pt>
                <c:pt idx="2">
                  <c:v>466</c:v>
                </c:pt>
                <c:pt idx="3">
                  <c:v>492</c:v>
                </c:pt>
                <c:pt idx="4">
                  <c:v>541</c:v>
                </c:pt>
                <c:pt idx="5">
                  <c:v>546</c:v>
                </c:pt>
                <c:pt idx="6">
                  <c:v>550</c:v>
                </c:pt>
                <c:pt idx="7">
                  <c:v>560</c:v>
                </c:pt>
                <c:pt idx="8">
                  <c:v>596</c:v>
                </c:pt>
                <c:pt idx="9">
                  <c:v>636</c:v>
                </c:pt>
                <c:pt idx="10">
                  <c:v>682</c:v>
                </c:pt>
                <c:pt idx="11">
                  <c:v>708</c:v>
                </c:pt>
                <c:pt idx="12">
                  <c:v>768</c:v>
                </c:pt>
                <c:pt idx="13">
                  <c:v>827</c:v>
                </c:pt>
                <c:pt idx="14">
                  <c:v>869</c:v>
                </c:pt>
                <c:pt idx="15">
                  <c:v>871</c:v>
                </c:pt>
                <c:pt idx="16">
                  <c:v>908</c:v>
                </c:pt>
                <c:pt idx="17">
                  <c:v>985</c:v>
                </c:pt>
                <c:pt idx="18" formatCode="#,##0">
                  <c:v>1017</c:v>
                </c:pt>
                <c:pt idx="19" formatCode="#,##0">
                  <c:v>1094</c:v>
                </c:pt>
                <c:pt idx="20" formatCode="#,##0">
                  <c:v>1099</c:v>
                </c:pt>
                <c:pt idx="21" formatCode="#,##0">
                  <c:v>1124</c:v>
                </c:pt>
                <c:pt idx="22" formatCode="#,##0">
                  <c:v>1214</c:v>
                </c:pt>
                <c:pt idx="23" formatCode="#,##0">
                  <c:v>1217</c:v>
                </c:pt>
              </c:numCache>
            </c:numRef>
          </c:val>
          <c:extLst>
            <c:ext xmlns:c16="http://schemas.microsoft.com/office/drawing/2014/chart" uri="{C3380CC4-5D6E-409C-BE32-E72D297353CC}">
              <c16:uniqueId val="{00000034-3948-4D11-B9FE-E7A7DC43B39A}"/>
            </c:ext>
          </c:extLst>
        </c:ser>
        <c:ser>
          <c:idx val="53"/>
          <c:order val="53"/>
          <c:tx>
            <c:strRef>
              <c:f>Expert!$O$65:$R$65</c:f>
              <c:strCache>
                <c:ptCount val="4"/>
                <c:pt idx="0">
                  <c:v>West</c:v>
                </c:pt>
                <c:pt idx="1">
                  <c:v>Transponders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Expert!$S$65:$AP$65</c:f>
              <c:numCache>
                <c:formatCode>General</c:formatCode>
                <c:ptCount val="24"/>
                <c:pt idx="0">
                  <c:v>919</c:v>
                </c:pt>
                <c:pt idx="1">
                  <c:v>995</c:v>
                </c:pt>
                <c:pt idx="2" formatCode="#,##0">
                  <c:v>1044</c:v>
                </c:pt>
                <c:pt idx="3" formatCode="#,##0">
                  <c:v>1060</c:v>
                </c:pt>
                <c:pt idx="4" formatCode="#,##0">
                  <c:v>1114</c:v>
                </c:pt>
                <c:pt idx="5" formatCode="#,##0">
                  <c:v>1211</c:v>
                </c:pt>
                <c:pt idx="6" formatCode="#,##0">
                  <c:v>1280</c:v>
                </c:pt>
                <c:pt idx="7" formatCode="#,##0">
                  <c:v>1307</c:v>
                </c:pt>
                <c:pt idx="8" formatCode="#,##0">
                  <c:v>1359</c:v>
                </c:pt>
                <c:pt idx="9" formatCode="#,##0">
                  <c:v>1456</c:v>
                </c:pt>
                <c:pt idx="10" formatCode="#,##0">
                  <c:v>1594</c:v>
                </c:pt>
                <c:pt idx="11" formatCode="#,##0">
                  <c:v>1738</c:v>
                </c:pt>
                <c:pt idx="12" formatCode="#,##0">
                  <c:v>1899</c:v>
                </c:pt>
                <c:pt idx="13" formatCode="#,##0">
                  <c:v>1998</c:v>
                </c:pt>
                <c:pt idx="14" formatCode="#,##0">
                  <c:v>2189</c:v>
                </c:pt>
                <c:pt idx="15" formatCode="#,##0">
                  <c:v>2225</c:v>
                </c:pt>
                <c:pt idx="16" formatCode="#,##0">
                  <c:v>2245</c:v>
                </c:pt>
                <c:pt idx="17" formatCode="#,##0">
                  <c:v>2296</c:v>
                </c:pt>
                <c:pt idx="18" formatCode="#,##0">
                  <c:v>2406</c:v>
                </c:pt>
                <c:pt idx="19" formatCode="#,##0">
                  <c:v>2521</c:v>
                </c:pt>
                <c:pt idx="20" formatCode="#,##0">
                  <c:v>2564</c:v>
                </c:pt>
                <c:pt idx="21" formatCode="#,##0">
                  <c:v>2723</c:v>
                </c:pt>
                <c:pt idx="22" formatCode="#,##0">
                  <c:v>2810</c:v>
                </c:pt>
                <c:pt idx="23" formatCode="#,##0">
                  <c:v>2982</c:v>
                </c:pt>
              </c:numCache>
            </c:numRef>
          </c:val>
          <c:extLst>
            <c:ext xmlns:c16="http://schemas.microsoft.com/office/drawing/2014/chart" uri="{C3380CC4-5D6E-409C-BE32-E72D297353CC}">
              <c16:uniqueId val="{00000035-3948-4D11-B9FE-E7A7DC43B39A}"/>
            </c:ext>
          </c:extLst>
        </c:ser>
        <c:ser>
          <c:idx val="54"/>
          <c:order val="54"/>
          <c:tx>
            <c:strRef>
              <c:f>Expert!$O$66:$R$66</c:f>
              <c:strCache>
                <c:ptCount val="4"/>
                <c:pt idx="0">
                  <c:v>West</c:v>
                </c:pt>
                <c:pt idx="1">
                  <c:v>Transponders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Expert!$S$66:$AP$66</c:f>
              <c:numCache>
                <c:formatCode>General</c:formatCode>
                <c:ptCount val="24"/>
                <c:pt idx="0">
                  <c:v>358</c:v>
                </c:pt>
                <c:pt idx="1">
                  <c:v>388</c:v>
                </c:pt>
                <c:pt idx="2">
                  <c:v>401</c:v>
                </c:pt>
                <c:pt idx="3">
                  <c:v>418</c:v>
                </c:pt>
                <c:pt idx="4">
                  <c:v>421</c:v>
                </c:pt>
                <c:pt idx="5">
                  <c:v>449</c:v>
                </c:pt>
                <c:pt idx="6">
                  <c:v>449</c:v>
                </c:pt>
                <c:pt idx="7">
                  <c:v>456</c:v>
                </c:pt>
                <c:pt idx="8">
                  <c:v>463</c:v>
                </c:pt>
                <c:pt idx="9">
                  <c:v>465</c:v>
                </c:pt>
                <c:pt idx="10">
                  <c:v>509</c:v>
                </c:pt>
                <c:pt idx="11">
                  <c:v>516</c:v>
                </c:pt>
                <c:pt idx="12">
                  <c:v>567</c:v>
                </c:pt>
                <c:pt idx="13">
                  <c:v>606</c:v>
                </c:pt>
                <c:pt idx="14">
                  <c:v>649</c:v>
                </c:pt>
                <c:pt idx="15">
                  <c:v>693</c:v>
                </c:pt>
                <c:pt idx="16">
                  <c:v>714</c:v>
                </c:pt>
                <c:pt idx="17">
                  <c:v>720</c:v>
                </c:pt>
                <c:pt idx="18">
                  <c:v>727</c:v>
                </c:pt>
                <c:pt idx="19">
                  <c:v>769</c:v>
                </c:pt>
                <c:pt idx="20">
                  <c:v>805</c:v>
                </c:pt>
                <c:pt idx="21">
                  <c:v>830</c:v>
                </c:pt>
                <c:pt idx="22">
                  <c:v>842</c:v>
                </c:pt>
                <c:pt idx="23">
                  <c:v>907</c:v>
                </c:pt>
              </c:numCache>
            </c:numRef>
          </c:val>
          <c:extLst>
            <c:ext xmlns:c16="http://schemas.microsoft.com/office/drawing/2014/chart" uri="{C3380CC4-5D6E-409C-BE32-E72D297353CC}">
              <c16:uniqueId val="{00000036-3948-4D11-B9FE-E7A7DC43B39A}"/>
            </c:ext>
          </c:extLst>
        </c:ser>
        <c:ser>
          <c:idx val="55"/>
          <c:order val="55"/>
          <c:tx>
            <c:strRef>
              <c:f>Expert!$O$67:$R$67</c:f>
              <c:strCache>
                <c:ptCount val="4"/>
                <c:pt idx="0">
                  <c:v>West</c:v>
                </c:pt>
                <c:pt idx="1">
                  <c:v>Transponders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Expert!$S$67:$AP$67</c:f>
              <c:numCache>
                <c:formatCode>#,##0</c:formatCode>
                <c:ptCount val="24"/>
                <c:pt idx="0" formatCode="General">
                  <c:v>989</c:v>
                </c:pt>
                <c:pt idx="1">
                  <c:v>1034</c:v>
                </c:pt>
                <c:pt idx="2">
                  <c:v>1072</c:v>
                </c:pt>
                <c:pt idx="3">
                  <c:v>1178</c:v>
                </c:pt>
                <c:pt idx="4">
                  <c:v>1288</c:v>
                </c:pt>
                <c:pt idx="5">
                  <c:v>1315</c:v>
                </c:pt>
                <c:pt idx="6">
                  <c:v>1440</c:v>
                </c:pt>
                <c:pt idx="7">
                  <c:v>1484</c:v>
                </c:pt>
                <c:pt idx="8">
                  <c:v>1632</c:v>
                </c:pt>
                <c:pt idx="9">
                  <c:v>1704</c:v>
                </c:pt>
                <c:pt idx="10">
                  <c:v>1733</c:v>
                </c:pt>
                <c:pt idx="11">
                  <c:v>1867</c:v>
                </c:pt>
                <c:pt idx="12">
                  <c:v>1868</c:v>
                </c:pt>
                <c:pt idx="13">
                  <c:v>1881</c:v>
                </c:pt>
                <c:pt idx="14">
                  <c:v>2060</c:v>
                </c:pt>
                <c:pt idx="15">
                  <c:v>2098</c:v>
                </c:pt>
                <c:pt idx="16">
                  <c:v>2299</c:v>
                </c:pt>
                <c:pt idx="17">
                  <c:v>2352</c:v>
                </c:pt>
                <c:pt idx="18">
                  <c:v>2368</c:v>
                </c:pt>
                <c:pt idx="19">
                  <c:v>2442</c:v>
                </c:pt>
                <c:pt idx="20">
                  <c:v>2456</c:v>
                </c:pt>
                <c:pt idx="21">
                  <c:v>2698</c:v>
                </c:pt>
                <c:pt idx="22">
                  <c:v>2780</c:v>
                </c:pt>
                <c:pt idx="23">
                  <c:v>2930</c:v>
                </c:pt>
              </c:numCache>
            </c:numRef>
          </c:val>
          <c:extLst>
            <c:ext xmlns:c16="http://schemas.microsoft.com/office/drawing/2014/chart" uri="{C3380CC4-5D6E-409C-BE32-E72D297353CC}">
              <c16:uniqueId val="{00000037-3948-4D11-B9FE-E7A7DC43B39A}"/>
            </c:ext>
          </c:extLst>
        </c:ser>
        <c:ser>
          <c:idx val="56"/>
          <c:order val="56"/>
          <c:tx>
            <c:strRef>
              <c:f>Expert!$O$68:$R$68</c:f>
              <c:strCache>
                <c:ptCount val="4"/>
                <c:pt idx="0">
                  <c:v>West</c:v>
                </c:pt>
                <c:pt idx="1">
                  <c:v>Transponders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Expert!$S$68:$AP$68</c:f>
              <c:numCache>
                <c:formatCode>General</c:formatCode>
                <c:ptCount val="24"/>
                <c:pt idx="0">
                  <c:v>674</c:v>
                </c:pt>
                <c:pt idx="1">
                  <c:v>688</c:v>
                </c:pt>
                <c:pt idx="2">
                  <c:v>733</c:v>
                </c:pt>
                <c:pt idx="3">
                  <c:v>806</c:v>
                </c:pt>
                <c:pt idx="4">
                  <c:v>842</c:v>
                </c:pt>
                <c:pt idx="5">
                  <c:v>887</c:v>
                </c:pt>
                <c:pt idx="6">
                  <c:v>938</c:v>
                </c:pt>
                <c:pt idx="7">
                  <c:v>974</c:v>
                </c:pt>
                <c:pt idx="8" formatCode="#,##0">
                  <c:v>1020</c:v>
                </c:pt>
                <c:pt idx="9" formatCode="#,##0">
                  <c:v>1114</c:v>
                </c:pt>
                <c:pt idx="10" formatCode="#,##0">
                  <c:v>1118</c:v>
                </c:pt>
                <c:pt idx="11" formatCode="#,##0">
                  <c:v>1190</c:v>
                </c:pt>
                <c:pt idx="12" formatCode="#,##0">
                  <c:v>1284</c:v>
                </c:pt>
                <c:pt idx="13" formatCode="#,##0">
                  <c:v>1362</c:v>
                </c:pt>
                <c:pt idx="14" formatCode="#,##0">
                  <c:v>1371</c:v>
                </c:pt>
                <c:pt idx="15" formatCode="#,##0">
                  <c:v>1484</c:v>
                </c:pt>
                <c:pt idx="16" formatCode="#,##0">
                  <c:v>1491</c:v>
                </c:pt>
                <c:pt idx="17" formatCode="#,##0">
                  <c:v>1542</c:v>
                </c:pt>
                <c:pt idx="18" formatCode="#,##0">
                  <c:v>1603</c:v>
                </c:pt>
                <c:pt idx="19" formatCode="#,##0">
                  <c:v>1655</c:v>
                </c:pt>
                <c:pt idx="20" formatCode="#,##0">
                  <c:v>1741</c:v>
                </c:pt>
                <c:pt idx="21" formatCode="#,##0">
                  <c:v>1793</c:v>
                </c:pt>
                <c:pt idx="22" formatCode="#,##0">
                  <c:v>1804</c:v>
                </c:pt>
                <c:pt idx="23" formatCode="#,##0">
                  <c:v>1808</c:v>
                </c:pt>
              </c:numCache>
            </c:numRef>
          </c:val>
          <c:extLst>
            <c:ext xmlns:c16="http://schemas.microsoft.com/office/drawing/2014/chart" uri="{C3380CC4-5D6E-409C-BE32-E72D297353CC}">
              <c16:uniqueId val="{00000038-3948-4D11-B9FE-E7A7DC43B39A}"/>
            </c:ext>
          </c:extLst>
        </c:ser>
        <c:ser>
          <c:idx val="57"/>
          <c:order val="57"/>
          <c:tx>
            <c:strRef>
              <c:f>Expert!$O$69:$R$69</c:f>
              <c:strCache>
                <c:ptCount val="4"/>
                <c:pt idx="0">
                  <c:v>West</c:v>
                </c:pt>
                <c:pt idx="1">
                  <c:v>Transponders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Expert!$S$69:$AP$69</c:f>
              <c:numCache>
                <c:formatCode>General</c:formatCode>
                <c:ptCount val="24"/>
                <c:pt idx="0">
                  <c:v>815</c:v>
                </c:pt>
                <c:pt idx="1">
                  <c:v>874</c:v>
                </c:pt>
                <c:pt idx="2">
                  <c:v>920</c:v>
                </c:pt>
                <c:pt idx="3">
                  <c:v>992</c:v>
                </c:pt>
                <c:pt idx="4" formatCode="#,##0">
                  <c:v>1026</c:v>
                </c:pt>
                <c:pt idx="5" formatCode="#,##0">
                  <c:v>1073</c:v>
                </c:pt>
                <c:pt idx="6" formatCode="#,##0">
                  <c:v>1092</c:v>
                </c:pt>
                <c:pt idx="7" formatCode="#,##0">
                  <c:v>1121</c:v>
                </c:pt>
                <c:pt idx="8" formatCode="#,##0">
                  <c:v>1168</c:v>
                </c:pt>
                <c:pt idx="9" formatCode="#,##0">
                  <c:v>1214</c:v>
                </c:pt>
                <c:pt idx="10" formatCode="#,##0">
                  <c:v>1252</c:v>
                </c:pt>
                <c:pt idx="11" formatCode="#,##0">
                  <c:v>1347</c:v>
                </c:pt>
                <c:pt idx="12" formatCode="#,##0">
                  <c:v>1409</c:v>
                </c:pt>
                <c:pt idx="13" formatCode="#,##0">
                  <c:v>1466</c:v>
                </c:pt>
                <c:pt idx="14" formatCode="#,##0">
                  <c:v>1559</c:v>
                </c:pt>
                <c:pt idx="15" formatCode="#,##0">
                  <c:v>1610</c:v>
                </c:pt>
                <c:pt idx="16" formatCode="#,##0">
                  <c:v>1621</c:v>
                </c:pt>
                <c:pt idx="17" formatCode="#,##0">
                  <c:v>1693</c:v>
                </c:pt>
                <c:pt idx="18" formatCode="#,##0">
                  <c:v>1771</c:v>
                </c:pt>
                <c:pt idx="19" formatCode="#,##0">
                  <c:v>1798</c:v>
                </c:pt>
                <c:pt idx="20" formatCode="#,##0">
                  <c:v>1919</c:v>
                </c:pt>
                <c:pt idx="21" formatCode="#,##0">
                  <c:v>2016</c:v>
                </c:pt>
                <c:pt idx="22" formatCode="#,##0">
                  <c:v>2024</c:v>
                </c:pt>
                <c:pt idx="23" formatCode="#,##0">
                  <c:v>2225</c:v>
                </c:pt>
              </c:numCache>
            </c:numRef>
          </c:val>
          <c:extLst>
            <c:ext xmlns:c16="http://schemas.microsoft.com/office/drawing/2014/chart" uri="{C3380CC4-5D6E-409C-BE32-E72D297353CC}">
              <c16:uniqueId val="{00000039-3948-4D11-B9FE-E7A7DC43B39A}"/>
            </c:ext>
          </c:extLst>
        </c:ser>
        <c:ser>
          <c:idx val="58"/>
          <c:order val="58"/>
          <c:tx>
            <c:strRef>
              <c:f>Expert!$O$70:$R$70</c:f>
              <c:strCache>
                <c:ptCount val="4"/>
                <c:pt idx="0">
                  <c:v>West</c:v>
                </c:pt>
                <c:pt idx="1">
                  <c:v>Transponders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Expert!$S$70:$AP$70</c:f>
              <c:numCache>
                <c:formatCode>General</c:formatCode>
                <c:ptCount val="24"/>
                <c:pt idx="0">
                  <c:v>205</c:v>
                </c:pt>
                <c:pt idx="1">
                  <c:v>216</c:v>
                </c:pt>
                <c:pt idx="2">
                  <c:v>217</c:v>
                </c:pt>
                <c:pt idx="3">
                  <c:v>236</c:v>
                </c:pt>
                <c:pt idx="4">
                  <c:v>251</c:v>
                </c:pt>
                <c:pt idx="5">
                  <c:v>275</c:v>
                </c:pt>
                <c:pt idx="6">
                  <c:v>278</c:v>
                </c:pt>
                <c:pt idx="7">
                  <c:v>299</c:v>
                </c:pt>
                <c:pt idx="8">
                  <c:v>328</c:v>
                </c:pt>
                <c:pt idx="9">
                  <c:v>349</c:v>
                </c:pt>
                <c:pt idx="10">
                  <c:v>376</c:v>
                </c:pt>
                <c:pt idx="11">
                  <c:v>408</c:v>
                </c:pt>
                <c:pt idx="12">
                  <c:v>444</c:v>
                </c:pt>
                <c:pt idx="13">
                  <c:v>446</c:v>
                </c:pt>
                <c:pt idx="14">
                  <c:v>451</c:v>
                </c:pt>
                <c:pt idx="15">
                  <c:v>478</c:v>
                </c:pt>
                <c:pt idx="16">
                  <c:v>500</c:v>
                </c:pt>
                <c:pt idx="17">
                  <c:v>505</c:v>
                </c:pt>
                <c:pt idx="18">
                  <c:v>509</c:v>
                </c:pt>
                <c:pt idx="19">
                  <c:v>554</c:v>
                </c:pt>
                <c:pt idx="20">
                  <c:v>571</c:v>
                </c:pt>
                <c:pt idx="21">
                  <c:v>623</c:v>
                </c:pt>
                <c:pt idx="22">
                  <c:v>642</c:v>
                </c:pt>
                <c:pt idx="23">
                  <c:v>676</c:v>
                </c:pt>
              </c:numCache>
            </c:numRef>
          </c:val>
          <c:extLst>
            <c:ext xmlns:c16="http://schemas.microsoft.com/office/drawing/2014/chart" uri="{C3380CC4-5D6E-409C-BE32-E72D297353CC}">
              <c16:uniqueId val="{0000003A-3948-4D11-B9FE-E7A7DC43B39A}"/>
            </c:ext>
          </c:extLst>
        </c:ser>
        <c:ser>
          <c:idx val="59"/>
          <c:order val="59"/>
          <c:tx>
            <c:strRef>
              <c:f>Expert!$O$71:$R$71</c:f>
              <c:strCache>
                <c:ptCount val="4"/>
                <c:pt idx="0">
                  <c:v>West</c:v>
                </c:pt>
                <c:pt idx="1">
                  <c:v>Transponders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Expert!$S$71:$AP$71</c:f>
              <c:numCache>
                <c:formatCode>General</c:formatCode>
                <c:ptCount val="24"/>
                <c:pt idx="0">
                  <c:v>248</c:v>
                </c:pt>
                <c:pt idx="1">
                  <c:v>265</c:v>
                </c:pt>
                <c:pt idx="2">
                  <c:v>282</c:v>
                </c:pt>
                <c:pt idx="3">
                  <c:v>305</c:v>
                </c:pt>
                <c:pt idx="4">
                  <c:v>328</c:v>
                </c:pt>
                <c:pt idx="5">
                  <c:v>342</c:v>
                </c:pt>
                <c:pt idx="6">
                  <c:v>360</c:v>
                </c:pt>
                <c:pt idx="7">
                  <c:v>379</c:v>
                </c:pt>
                <c:pt idx="8">
                  <c:v>380</c:v>
                </c:pt>
                <c:pt idx="9">
                  <c:v>405</c:v>
                </c:pt>
                <c:pt idx="10">
                  <c:v>413</c:v>
                </c:pt>
                <c:pt idx="11">
                  <c:v>447</c:v>
                </c:pt>
                <c:pt idx="12">
                  <c:v>483</c:v>
                </c:pt>
                <c:pt idx="13">
                  <c:v>529</c:v>
                </c:pt>
                <c:pt idx="14">
                  <c:v>537</c:v>
                </c:pt>
                <c:pt idx="15">
                  <c:v>587</c:v>
                </c:pt>
                <c:pt idx="16">
                  <c:v>644</c:v>
                </c:pt>
                <c:pt idx="17">
                  <c:v>649</c:v>
                </c:pt>
                <c:pt idx="18">
                  <c:v>683</c:v>
                </c:pt>
                <c:pt idx="19">
                  <c:v>740</c:v>
                </c:pt>
                <c:pt idx="20">
                  <c:v>751</c:v>
                </c:pt>
                <c:pt idx="21">
                  <c:v>776</c:v>
                </c:pt>
                <c:pt idx="22">
                  <c:v>850</c:v>
                </c:pt>
                <c:pt idx="23">
                  <c:v>916</c:v>
                </c:pt>
              </c:numCache>
            </c:numRef>
          </c:val>
          <c:extLst>
            <c:ext xmlns:c16="http://schemas.microsoft.com/office/drawing/2014/chart" uri="{C3380CC4-5D6E-409C-BE32-E72D297353CC}">
              <c16:uniqueId val="{0000003B-3948-4D11-B9FE-E7A7DC43B39A}"/>
            </c:ext>
          </c:extLst>
        </c:ser>
        <c:ser>
          <c:idx val="60"/>
          <c:order val="60"/>
          <c:tx>
            <c:strRef>
              <c:f>Expert!$O$72:$R$72</c:f>
              <c:strCache>
                <c:ptCount val="4"/>
                <c:pt idx="0">
                  <c:v>West</c:v>
                </c:pt>
                <c:pt idx="1">
                  <c:v>Glue Guns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Expert!$S$72:$AP$72</c:f>
              <c:numCache>
                <c:formatCode>General</c:formatCode>
                <c:ptCount val="24"/>
                <c:pt idx="0">
                  <c:v>362</c:v>
                </c:pt>
                <c:pt idx="1">
                  <c:v>378</c:v>
                </c:pt>
                <c:pt idx="2">
                  <c:v>395</c:v>
                </c:pt>
                <c:pt idx="3">
                  <c:v>418</c:v>
                </c:pt>
                <c:pt idx="4">
                  <c:v>458</c:v>
                </c:pt>
                <c:pt idx="5">
                  <c:v>497</c:v>
                </c:pt>
                <c:pt idx="6">
                  <c:v>545</c:v>
                </c:pt>
                <c:pt idx="7">
                  <c:v>577</c:v>
                </c:pt>
                <c:pt idx="8">
                  <c:v>581</c:v>
                </c:pt>
                <c:pt idx="9">
                  <c:v>627</c:v>
                </c:pt>
                <c:pt idx="10">
                  <c:v>628</c:v>
                </c:pt>
                <c:pt idx="11">
                  <c:v>628</c:v>
                </c:pt>
                <c:pt idx="12">
                  <c:v>687</c:v>
                </c:pt>
                <c:pt idx="13">
                  <c:v>742</c:v>
                </c:pt>
                <c:pt idx="14">
                  <c:v>746</c:v>
                </c:pt>
                <c:pt idx="15">
                  <c:v>807</c:v>
                </c:pt>
                <c:pt idx="16">
                  <c:v>832</c:v>
                </c:pt>
                <c:pt idx="17">
                  <c:v>876</c:v>
                </c:pt>
                <c:pt idx="18">
                  <c:v>888</c:v>
                </c:pt>
                <c:pt idx="19">
                  <c:v>924</c:v>
                </c:pt>
                <c:pt idx="20">
                  <c:v>982</c:v>
                </c:pt>
                <c:pt idx="21">
                  <c:v>990</c:v>
                </c:pt>
                <c:pt idx="22" formatCode="#,##0">
                  <c:v>1057</c:v>
                </c:pt>
                <c:pt idx="23" formatCode="#,##0">
                  <c:v>1081</c:v>
                </c:pt>
              </c:numCache>
            </c:numRef>
          </c:val>
          <c:extLst>
            <c:ext xmlns:c16="http://schemas.microsoft.com/office/drawing/2014/chart" uri="{C3380CC4-5D6E-409C-BE32-E72D297353CC}">
              <c16:uniqueId val="{0000003C-3948-4D11-B9FE-E7A7DC43B39A}"/>
            </c:ext>
          </c:extLst>
        </c:ser>
        <c:ser>
          <c:idx val="61"/>
          <c:order val="61"/>
          <c:tx>
            <c:strRef>
              <c:f>Expert!$O$73:$R$73</c:f>
              <c:strCache>
                <c:ptCount val="4"/>
                <c:pt idx="0">
                  <c:v>West</c:v>
                </c:pt>
                <c:pt idx="1">
                  <c:v>Glue Guns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Expert!$S$73:$AP$73</c:f>
              <c:numCache>
                <c:formatCode>General</c:formatCode>
                <c:ptCount val="24"/>
                <c:pt idx="0">
                  <c:v>736</c:v>
                </c:pt>
                <c:pt idx="1">
                  <c:v>741</c:v>
                </c:pt>
                <c:pt idx="2">
                  <c:v>755</c:v>
                </c:pt>
                <c:pt idx="3">
                  <c:v>817</c:v>
                </c:pt>
                <c:pt idx="4">
                  <c:v>821</c:v>
                </c:pt>
                <c:pt idx="5">
                  <c:v>827</c:v>
                </c:pt>
                <c:pt idx="6">
                  <c:v>854</c:v>
                </c:pt>
                <c:pt idx="7">
                  <c:v>903</c:v>
                </c:pt>
                <c:pt idx="8">
                  <c:v>967</c:v>
                </c:pt>
                <c:pt idx="9">
                  <c:v>999</c:v>
                </c:pt>
                <c:pt idx="10" formatCode="#,##0">
                  <c:v>1000</c:v>
                </c:pt>
                <c:pt idx="11" formatCode="#,##0">
                  <c:v>1084</c:v>
                </c:pt>
                <c:pt idx="12" formatCode="#,##0">
                  <c:v>1163</c:v>
                </c:pt>
                <c:pt idx="13" formatCode="#,##0">
                  <c:v>1168</c:v>
                </c:pt>
                <c:pt idx="14" formatCode="#,##0">
                  <c:v>1265</c:v>
                </c:pt>
                <c:pt idx="15" formatCode="#,##0">
                  <c:v>1281</c:v>
                </c:pt>
                <c:pt idx="16" formatCode="#,##0">
                  <c:v>1340</c:v>
                </c:pt>
                <c:pt idx="17" formatCode="#,##0">
                  <c:v>1367</c:v>
                </c:pt>
                <c:pt idx="18" formatCode="#,##0">
                  <c:v>1402</c:v>
                </c:pt>
                <c:pt idx="19" formatCode="#,##0">
                  <c:v>1440</c:v>
                </c:pt>
                <c:pt idx="20" formatCode="#,##0">
                  <c:v>1506</c:v>
                </c:pt>
                <c:pt idx="21" formatCode="#,##0">
                  <c:v>1528</c:v>
                </c:pt>
                <c:pt idx="22" formatCode="#,##0">
                  <c:v>1540</c:v>
                </c:pt>
                <c:pt idx="23" formatCode="#,##0">
                  <c:v>1648</c:v>
                </c:pt>
              </c:numCache>
            </c:numRef>
          </c:val>
          <c:extLst>
            <c:ext xmlns:c16="http://schemas.microsoft.com/office/drawing/2014/chart" uri="{C3380CC4-5D6E-409C-BE32-E72D297353CC}">
              <c16:uniqueId val="{0000003D-3948-4D11-B9FE-E7A7DC43B39A}"/>
            </c:ext>
          </c:extLst>
        </c:ser>
        <c:ser>
          <c:idx val="62"/>
          <c:order val="62"/>
          <c:tx>
            <c:strRef>
              <c:f>Expert!$O$74:$R$74</c:f>
              <c:strCache>
                <c:ptCount val="4"/>
                <c:pt idx="0">
                  <c:v>West</c:v>
                </c:pt>
                <c:pt idx="1">
                  <c:v>Glue Guns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Expert!$S$74:$AP$74</c:f>
              <c:numCache>
                <c:formatCode>General</c:formatCode>
                <c:ptCount val="24"/>
                <c:pt idx="0">
                  <c:v>245</c:v>
                </c:pt>
                <c:pt idx="1">
                  <c:v>259</c:v>
                </c:pt>
                <c:pt idx="2">
                  <c:v>283</c:v>
                </c:pt>
                <c:pt idx="3">
                  <c:v>311</c:v>
                </c:pt>
                <c:pt idx="4">
                  <c:v>315</c:v>
                </c:pt>
                <c:pt idx="5">
                  <c:v>344</c:v>
                </c:pt>
                <c:pt idx="6">
                  <c:v>364</c:v>
                </c:pt>
                <c:pt idx="7">
                  <c:v>368</c:v>
                </c:pt>
                <c:pt idx="8">
                  <c:v>394</c:v>
                </c:pt>
                <c:pt idx="9">
                  <c:v>428</c:v>
                </c:pt>
                <c:pt idx="10">
                  <c:v>456</c:v>
                </c:pt>
                <c:pt idx="11">
                  <c:v>492</c:v>
                </c:pt>
                <c:pt idx="12">
                  <c:v>528</c:v>
                </c:pt>
                <c:pt idx="13">
                  <c:v>557</c:v>
                </c:pt>
                <c:pt idx="14">
                  <c:v>578</c:v>
                </c:pt>
                <c:pt idx="15">
                  <c:v>627</c:v>
                </c:pt>
                <c:pt idx="16">
                  <c:v>681</c:v>
                </c:pt>
                <c:pt idx="17">
                  <c:v>709</c:v>
                </c:pt>
                <c:pt idx="18">
                  <c:v>758</c:v>
                </c:pt>
                <c:pt idx="19">
                  <c:v>808</c:v>
                </c:pt>
                <c:pt idx="20">
                  <c:v>867</c:v>
                </c:pt>
                <c:pt idx="21">
                  <c:v>910</c:v>
                </c:pt>
                <c:pt idx="22">
                  <c:v>991</c:v>
                </c:pt>
                <c:pt idx="23" formatCode="#,##0">
                  <c:v>1017</c:v>
                </c:pt>
              </c:numCache>
            </c:numRef>
          </c:val>
          <c:extLst>
            <c:ext xmlns:c16="http://schemas.microsoft.com/office/drawing/2014/chart" uri="{C3380CC4-5D6E-409C-BE32-E72D297353CC}">
              <c16:uniqueId val="{0000003E-3948-4D11-B9FE-E7A7DC43B39A}"/>
            </c:ext>
          </c:extLst>
        </c:ser>
        <c:ser>
          <c:idx val="63"/>
          <c:order val="63"/>
          <c:tx>
            <c:strRef>
              <c:f>Expert!$O$75:$R$75</c:f>
              <c:strCache>
                <c:ptCount val="4"/>
                <c:pt idx="0">
                  <c:v>West</c:v>
                </c:pt>
                <c:pt idx="1">
                  <c:v>Glue Guns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Expert!$S$75:$AP$75</c:f>
              <c:numCache>
                <c:formatCode>General</c:formatCode>
                <c:ptCount val="24"/>
                <c:pt idx="0">
                  <c:v>223</c:v>
                </c:pt>
                <c:pt idx="1">
                  <c:v>233</c:v>
                </c:pt>
                <c:pt idx="2">
                  <c:v>249</c:v>
                </c:pt>
                <c:pt idx="3">
                  <c:v>254</c:v>
                </c:pt>
                <c:pt idx="4">
                  <c:v>261</c:v>
                </c:pt>
                <c:pt idx="5">
                  <c:v>274</c:v>
                </c:pt>
                <c:pt idx="6">
                  <c:v>298</c:v>
                </c:pt>
                <c:pt idx="7">
                  <c:v>304</c:v>
                </c:pt>
                <c:pt idx="8">
                  <c:v>311</c:v>
                </c:pt>
                <c:pt idx="9">
                  <c:v>338</c:v>
                </c:pt>
                <c:pt idx="10">
                  <c:v>345</c:v>
                </c:pt>
                <c:pt idx="11">
                  <c:v>376</c:v>
                </c:pt>
                <c:pt idx="12">
                  <c:v>383</c:v>
                </c:pt>
                <c:pt idx="13">
                  <c:v>389</c:v>
                </c:pt>
                <c:pt idx="14">
                  <c:v>419</c:v>
                </c:pt>
                <c:pt idx="15">
                  <c:v>419</c:v>
                </c:pt>
                <c:pt idx="16">
                  <c:v>425</c:v>
                </c:pt>
                <c:pt idx="17">
                  <c:v>458</c:v>
                </c:pt>
                <c:pt idx="18">
                  <c:v>486</c:v>
                </c:pt>
                <c:pt idx="19">
                  <c:v>527</c:v>
                </c:pt>
                <c:pt idx="20">
                  <c:v>559</c:v>
                </c:pt>
                <c:pt idx="21">
                  <c:v>606</c:v>
                </c:pt>
                <c:pt idx="22">
                  <c:v>665</c:v>
                </c:pt>
                <c:pt idx="23">
                  <c:v>676</c:v>
                </c:pt>
              </c:numCache>
            </c:numRef>
          </c:val>
          <c:extLst>
            <c:ext xmlns:c16="http://schemas.microsoft.com/office/drawing/2014/chart" uri="{C3380CC4-5D6E-409C-BE32-E72D297353CC}">
              <c16:uniqueId val="{0000003F-3948-4D11-B9FE-E7A7DC43B39A}"/>
            </c:ext>
          </c:extLst>
        </c:ser>
        <c:ser>
          <c:idx val="64"/>
          <c:order val="64"/>
          <c:tx>
            <c:strRef>
              <c:f>Expert!$O$76:$R$76</c:f>
              <c:strCache>
                <c:ptCount val="4"/>
                <c:pt idx="0">
                  <c:v>West</c:v>
                </c:pt>
                <c:pt idx="1">
                  <c:v>Glue Guns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Expert!$S$76:$AP$76</c:f>
              <c:numCache>
                <c:formatCode>General</c:formatCode>
                <c:ptCount val="24"/>
                <c:pt idx="0">
                  <c:v>273</c:v>
                </c:pt>
                <c:pt idx="1">
                  <c:v>295</c:v>
                </c:pt>
                <c:pt idx="2">
                  <c:v>316</c:v>
                </c:pt>
                <c:pt idx="3">
                  <c:v>320</c:v>
                </c:pt>
                <c:pt idx="4">
                  <c:v>327</c:v>
                </c:pt>
                <c:pt idx="5">
                  <c:v>331</c:v>
                </c:pt>
                <c:pt idx="6">
                  <c:v>344</c:v>
                </c:pt>
                <c:pt idx="7">
                  <c:v>359</c:v>
                </c:pt>
                <c:pt idx="8">
                  <c:v>372</c:v>
                </c:pt>
                <c:pt idx="9">
                  <c:v>385</c:v>
                </c:pt>
                <c:pt idx="10">
                  <c:v>423</c:v>
                </c:pt>
                <c:pt idx="11">
                  <c:v>454</c:v>
                </c:pt>
                <c:pt idx="12">
                  <c:v>493</c:v>
                </c:pt>
                <c:pt idx="13">
                  <c:v>508</c:v>
                </c:pt>
                <c:pt idx="14">
                  <c:v>516</c:v>
                </c:pt>
                <c:pt idx="15">
                  <c:v>537</c:v>
                </c:pt>
                <c:pt idx="16">
                  <c:v>563</c:v>
                </c:pt>
                <c:pt idx="17">
                  <c:v>613</c:v>
                </c:pt>
                <c:pt idx="18">
                  <c:v>614</c:v>
                </c:pt>
                <c:pt idx="19">
                  <c:v>634</c:v>
                </c:pt>
                <c:pt idx="20">
                  <c:v>643</c:v>
                </c:pt>
                <c:pt idx="21">
                  <c:v>661</c:v>
                </c:pt>
                <c:pt idx="22">
                  <c:v>681</c:v>
                </c:pt>
                <c:pt idx="23">
                  <c:v>733</c:v>
                </c:pt>
              </c:numCache>
            </c:numRef>
          </c:val>
          <c:extLst>
            <c:ext xmlns:c16="http://schemas.microsoft.com/office/drawing/2014/chart" uri="{C3380CC4-5D6E-409C-BE32-E72D297353CC}">
              <c16:uniqueId val="{00000040-3948-4D11-B9FE-E7A7DC43B39A}"/>
            </c:ext>
          </c:extLst>
        </c:ser>
        <c:ser>
          <c:idx val="65"/>
          <c:order val="65"/>
          <c:tx>
            <c:strRef>
              <c:f>Expert!$O$77:$R$77</c:f>
              <c:strCache>
                <c:ptCount val="4"/>
                <c:pt idx="0">
                  <c:v>West</c:v>
                </c:pt>
                <c:pt idx="1">
                  <c:v>Glue Guns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Expert!$S$77:$AP$77</c:f>
              <c:numCache>
                <c:formatCode>#,##0</c:formatCode>
                <c:ptCount val="24"/>
                <c:pt idx="0" formatCode="General">
                  <c:v>961</c:v>
                </c:pt>
                <c:pt idx="1">
                  <c:v>1014</c:v>
                </c:pt>
                <c:pt idx="2">
                  <c:v>1074</c:v>
                </c:pt>
                <c:pt idx="3">
                  <c:v>1174</c:v>
                </c:pt>
                <c:pt idx="4">
                  <c:v>1224</c:v>
                </c:pt>
                <c:pt idx="5">
                  <c:v>1317</c:v>
                </c:pt>
                <c:pt idx="6">
                  <c:v>1444</c:v>
                </c:pt>
                <c:pt idx="7">
                  <c:v>1541</c:v>
                </c:pt>
                <c:pt idx="8">
                  <c:v>1666</c:v>
                </c:pt>
                <c:pt idx="9">
                  <c:v>1756</c:v>
                </c:pt>
                <c:pt idx="10">
                  <c:v>1895</c:v>
                </c:pt>
                <c:pt idx="11">
                  <c:v>2053</c:v>
                </c:pt>
                <c:pt idx="12">
                  <c:v>2134</c:v>
                </c:pt>
                <c:pt idx="13">
                  <c:v>2330</c:v>
                </c:pt>
                <c:pt idx="14">
                  <c:v>2363</c:v>
                </c:pt>
                <c:pt idx="15">
                  <c:v>2532</c:v>
                </c:pt>
                <c:pt idx="16">
                  <c:v>2710</c:v>
                </c:pt>
                <c:pt idx="17">
                  <c:v>2911</c:v>
                </c:pt>
                <c:pt idx="18">
                  <c:v>2936</c:v>
                </c:pt>
                <c:pt idx="19">
                  <c:v>3173</c:v>
                </c:pt>
                <c:pt idx="20">
                  <c:v>3193</c:v>
                </c:pt>
                <c:pt idx="21">
                  <c:v>3331</c:v>
                </c:pt>
                <c:pt idx="22">
                  <c:v>3611</c:v>
                </c:pt>
                <c:pt idx="23">
                  <c:v>3809</c:v>
                </c:pt>
              </c:numCache>
            </c:numRef>
          </c:val>
          <c:extLst>
            <c:ext xmlns:c16="http://schemas.microsoft.com/office/drawing/2014/chart" uri="{C3380CC4-5D6E-409C-BE32-E72D297353CC}">
              <c16:uniqueId val="{00000041-3948-4D11-B9FE-E7A7DC43B39A}"/>
            </c:ext>
          </c:extLst>
        </c:ser>
        <c:ser>
          <c:idx val="66"/>
          <c:order val="66"/>
          <c:tx>
            <c:strRef>
              <c:f>Expert!$O$78:$R$78</c:f>
              <c:strCache>
                <c:ptCount val="4"/>
                <c:pt idx="0">
                  <c:v>West</c:v>
                </c:pt>
                <c:pt idx="1">
                  <c:v>Glue Guns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Expert!$S$78:$AP$78</c:f>
              <c:numCache>
                <c:formatCode>General</c:formatCode>
                <c:ptCount val="24"/>
                <c:pt idx="0">
                  <c:v>482</c:v>
                </c:pt>
                <c:pt idx="1">
                  <c:v>499</c:v>
                </c:pt>
                <c:pt idx="2">
                  <c:v>543</c:v>
                </c:pt>
                <c:pt idx="3">
                  <c:v>586</c:v>
                </c:pt>
                <c:pt idx="4">
                  <c:v>586</c:v>
                </c:pt>
                <c:pt idx="5">
                  <c:v>604</c:v>
                </c:pt>
                <c:pt idx="6">
                  <c:v>634</c:v>
                </c:pt>
                <c:pt idx="7">
                  <c:v>672</c:v>
                </c:pt>
                <c:pt idx="8">
                  <c:v>715</c:v>
                </c:pt>
                <c:pt idx="9">
                  <c:v>745</c:v>
                </c:pt>
                <c:pt idx="10">
                  <c:v>749</c:v>
                </c:pt>
                <c:pt idx="11">
                  <c:v>789</c:v>
                </c:pt>
                <c:pt idx="12">
                  <c:v>856</c:v>
                </c:pt>
                <c:pt idx="13">
                  <c:v>875</c:v>
                </c:pt>
                <c:pt idx="14">
                  <c:v>880</c:v>
                </c:pt>
                <c:pt idx="15">
                  <c:v>938</c:v>
                </c:pt>
                <c:pt idx="16">
                  <c:v>943</c:v>
                </c:pt>
                <c:pt idx="17" formatCode="#,##0">
                  <c:v>1022</c:v>
                </c:pt>
                <c:pt idx="18" formatCode="#,##0">
                  <c:v>1022</c:v>
                </c:pt>
                <c:pt idx="19" formatCode="#,##0">
                  <c:v>1083</c:v>
                </c:pt>
                <c:pt idx="20" formatCode="#,##0">
                  <c:v>1098</c:v>
                </c:pt>
                <c:pt idx="21" formatCode="#,##0">
                  <c:v>1130</c:v>
                </c:pt>
                <c:pt idx="22" formatCode="#,##0">
                  <c:v>1207</c:v>
                </c:pt>
                <c:pt idx="23" formatCode="#,##0">
                  <c:v>1315</c:v>
                </c:pt>
              </c:numCache>
            </c:numRef>
          </c:val>
          <c:extLst>
            <c:ext xmlns:c16="http://schemas.microsoft.com/office/drawing/2014/chart" uri="{C3380CC4-5D6E-409C-BE32-E72D297353CC}">
              <c16:uniqueId val="{00000042-3948-4D11-B9FE-E7A7DC43B39A}"/>
            </c:ext>
          </c:extLst>
        </c:ser>
        <c:ser>
          <c:idx val="67"/>
          <c:order val="67"/>
          <c:tx>
            <c:strRef>
              <c:f>Expert!$O$79:$R$79</c:f>
              <c:strCache>
                <c:ptCount val="4"/>
                <c:pt idx="0">
                  <c:v>West</c:v>
                </c:pt>
                <c:pt idx="1">
                  <c:v>Glue Guns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Expert!$S$79:$AP$79</c:f>
              <c:numCache>
                <c:formatCode>General</c:formatCode>
                <c:ptCount val="24"/>
                <c:pt idx="0">
                  <c:v>19</c:v>
                </c:pt>
                <c:pt idx="1">
                  <c:v>20</c:v>
                </c:pt>
                <c:pt idx="2">
                  <c:v>21</c:v>
                </c:pt>
                <c:pt idx="3">
                  <c:v>22</c:v>
                </c:pt>
                <c:pt idx="4">
                  <c:v>23</c:v>
                </c:pt>
                <c:pt idx="5">
                  <c:v>24</c:v>
                </c:pt>
                <c:pt idx="6">
                  <c:v>24</c:v>
                </c:pt>
                <c:pt idx="7">
                  <c:v>27</c:v>
                </c:pt>
                <c:pt idx="8">
                  <c:v>27</c:v>
                </c:pt>
                <c:pt idx="9">
                  <c:v>29</c:v>
                </c:pt>
                <c:pt idx="10">
                  <c:v>31</c:v>
                </c:pt>
                <c:pt idx="11">
                  <c:v>33</c:v>
                </c:pt>
                <c:pt idx="12">
                  <c:v>33</c:v>
                </c:pt>
                <c:pt idx="13">
                  <c:v>35</c:v>
                </c:pt>
                <c:pt idx="14">
                  <c:v>39</c:v>
                </c:pt>
                <c:pt idx="15">
                  <c:v>40</c:v>
                </c:pt>
                <c:pt idx="16">
                  <c:v>44</c:v>
                </c:pt>
                <c:pt idx="17">
                  <c:v>47</c:v>
                </c:pt>
                <c:pt idx="18">
                  <c:v>51</c:v>
                </c:pt>
                <c:pt idx="19">
                  <c:v>54</c:v>
                </c:pt>
                <c:pt idx="20">
                  <c:v>54</c:v>
                </c:pt>
                <c:pt idx="21">
                  <c:v>57</c:v>
                </c:pt>
                <c:pt idx="22">
                  <c:v>61</c:v>
                </c:pt>
                <c:pt idx="23">
                  <c:v>61</c:v>
                </c:pt>
              </c:numCache>
            </c:numRef>
          </c:val>
          <c:extLst>
            <c:ext xmlns:c16="http://schemas.microsoft.com/office/drawing/2014/chart" uri="{C3380CC4-5D6E-409C-BE32-E72D297353CC}">
              <c16:uniqueId val="{00000043-3948-4D11-B9FE-E7A7DC43B39A}"/>
            </c:ext>
          </c:extLst>
        </c:ser>
        <c:ser>
          <c:idx val="68"/>
          <c:order val="68"/>
          <c:tx>
            <c:strRef>
              <c:f>Expert!$O$80:$R$80</c:f>
              <c:strCache>
                <c:ptCount val="4"/>
                <c:pt idx="0">
                  <c:v>West</c:v>
                </c:pt>
                <c:pt idx="1">
                  <c:v>Glue Guns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Expert!$S$80:$AP$80</c:f>
              <c:numCache>
                <c:formatCode>General</c:formatCode>
                <c:ptCount val="24"/>
                <c:pt idx="0">
                  <c:v>11</c:v>
                </c:pt>
                <c:pt idx="1">
                  <c:v>12</c:v>
                </c:pt>
                <c:pt idx="2">
                  <c:v>12</c:v>
                </c:pt>
                <c:pt idx="3">
                  <c:v>12</c:v>
                </c:pt>
                <c:pt idx="4">
                  <c:v>13</c:v>
                </c:pt>
                <c:pt idx="5">
                  <c:v>13</c:v>
                </c:pt>
                <c:pt idx="6">
                  <c:v>14</c:v>
                </c:pt>
                <c:pt idx="7">
                  <c:v>15</c:v>
                </c:pt>
                <c:pt idx="8">
                  <c:v>15</c:v>
                </c:pt>
                <c:pt idx="9">
                  <c:v>15</c:v>
                </c:pt>
                <c:pt idx="10">
                  <c:v>15</c:v>
                </c:pt>
                <c:pt idx="11">
                  <c:v>16</c:v>
                </c:pt>
                <c:pt idx="12">
                  <c:v>17</c:v>
                </c:pt>
                <c:pt idx="13">
                  <c:v>19</c:v>
                </c:pt>
                <c:pt idx="14">
                  <c:v>20</c:v>
                </c:pt>
                <c:pt idx="15">
                  <c:v>21</c:v>
                </c:pt>
                <c:pt idx="16">
                  <c:v>22</c:v>
                </c:pt>
                <c:pt idx="17">
                  <c:v>23</c:v>
                </c:pt>
                <c:pt idx="18">
                  <c:v>25</c:v>
                </c:pt>
                <c:pt idx="19">
                  <c:v>25</c:v>
                </c:pt>
                <c:pt idx="20">
                  <c:v>27</c:v>
                </c:pt>
                <c:pt idx="21">
                  <c:v>27</c:v>
                </c:pt>
                <c:pt idx="22">
                  <c:v>27</c:v>
                </c:pt>
                <c:pt idx="23">
                  <c:v>28</c:v>
                </c:pt>
              </c:numCache>
            </c:numRef>
          </c:val>
          <c:extLst>
            <c:ext xmlns:c16="http://schemas.microsoft.com/office/drawing/2014/chart" uri="{C3380CC4-5D6E-409C-BE32-E72D297353CC}">
              <c16:uniqueId val="{00000044-3948-4D11-B9FE-E7A7DC43B39A}"/>
            </c:ext>
          </c:extLst>
        </c:ser>
        <c:ser>
          <c:idx val="69"/>
          <c:order val="69"/>
          <c:tx>
            <c:strRef>
              <c:f>Expert!$O$81:$R$81</c:f>
              <c:strCache>
                <c:ptCount val="4"/>
                <c:pt idx="0">
                  <c:v>West</c:v>
                </c:pt>
                <c:pt idx="1">
                  <c:v>Glue Guns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Expert!$S$81:$AP$81</c:f>
              <c:numCache>
                <c:formatCode>General</c:formatCode>
                <c:ptCount val="24"/>
                <c:pt idx="0">
                  <c:v>683</c:v>
                </c:pt>
                <c:pt idx="1">
                  <c:v>710</c:v>
                </c:pt>
                <c:pt idx="2">
                  <c:v>717</c:v>
                </c:pt>
                <c:pt idx="3">
                  <c:v>759</c:v>
                </c:pt>
                <c:pt idx="4">
                  <c:v>832</c:v>
                </c:pt>
                <c:pt idx="5">
                  <c:v>841</c:v>
                </c:pt>
                <c:pt idx="6">
                  <c:v>864</c:v>
                </c:pt>
                <c:pt idx="7">
                  <c:v>887</c:v>
                </c:pt>
                <c:pt idx="8">
                  <c:v>922</c:v>
                </c:pt>
                <c:pt idx="9">
                  <c:v>995</c:v>
                </c:pt>
                <c:pt idx="10" formatCode="#,##0">
                  <c:v>1070</c:v>
                </c:pt>
                <c:pt idx="11" formatCode="#,##0">
                  <c:v>1147</c:v>
                </c:pt>
                <c:pt idx="12" formatCode="#,##0">
                  <c:v>1181</c:v>
                </c:pt>
                <c:pt idx="13" formatCode="#,##0">
                  <c:v>1266</c:v>
                </c:pt>
                <c:pt idx="14" formatCode="#,##0">
                  <c:v>1328</c:v>
                </c:pt>
                <c:pt idx="15" formatCode="#,##0">
                  <c:v>1436</c:v>
                </c:pt>
                <c:pt idx="16" formatCode="#,##0">
                  <c:v>1540</c:v>
                </c:pt>
                <c:pt idx="17" formatCode="#,##0">
                  <c:v>1543</c:v>
                </c:pt>
                <c:pt idx="18" formatCode="#,##0">
                  <c:v>1573</c:v>
                </c:pt>
                <c:pt idx="19" formatCode="#,##0">
                  <c:v>1701</c:v>
                </c:pt>
                <c:pt idx="20" formatCode="#,##0">
                  <c:v>1797</c:v>
                </c:pt>
                <c:pt idx="21" formatCode="#,##0">
                  <c:v>1904</c:v>
                </c:pt>
                <c:pt idx="22" formatCode="#,##0">
                  <c:v>2086</c:v>
                </c:pt>
                <c:pt idx="23" formatCode="#,##0">
                  <c:v>2164</c:v>
                </c:pt>
              </c:numCache>
            </c:numRef>
          </c:val>
          <c:extLst>
            <c:ext xmlns:c16="http://schemas.microsoft.com/office/drawing/2014/chart" uri="{C3380CC4-5D6E-409C-BE32-E72D297353CC}">
              <c16:uniqueId val="{00000045-3948-4D11-B9FE-E7A7DC43B39A}"/>
            </c:ext>
          </c:extLst>
        </c:ser>
        <c:ser>
          <c:idx val="70"/>
          <c:order val="70"/>
          <c:tx>
            <c:strRef>
              <c:f>Expert!$O$82:$R$82</c:f>
              <c:strCache>
                <c:ptCount val="4"/>
                <c:pt idx="0">
                  <c:v>West</c:v>
                </c:pt>
                <c:pt idx="1">
                  <c:v>Glue Guns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Expert!$S$82:$AP$82</c:f>
              <c:numCache>
                <c:formatCode>General</c:formatCode>
                <c:ptCount val="24"/>
                <c:pt idx="0">
                  <c:v>527</c:v>
                </c:pt>
                <c:pt idx="1">
                  <c:v>578</c:v>
                </c:pt>
                <c:pt idx="2">
                  <c:v>633</c:v>
                </c:pt>
                <c:pt idx="3">
                  <c:v>669</c:v>
                </c:pt>
                <c:pt idx="4">
                  <c:v>705</c:v>
                </c:pt>
                <c:pt idx="5">
                  <c:v>727</c:v>
                </c:pt>
                <c:pt idx="6">
                  <c:v>765</c:v>
                </c:pt>
                <c:pt idx="7">
                  <c:v>778</c:v>
                </c:pt>
                <c:pt idx="8">
                  <c:v>854</c:v>
                </c:pt>
                <c:pt idx="9">
                  <c:v>877</c:v>
                </c:pt>
                <c:pt idx="10">
                  <c:v>913</c:v>
                </c:pt>
                <c:pt idx="11">
                  <c:v>948</c:v>
                </c:pt>
                <c:pt idx="12">
                  <c:v>957</c:v>
                </c:pt>
                <c:pt idx="13" formatCode="#,##0">
                  <c:v>1003</c:v>
                </c:pt>
                <c:pt idx="14" formatCode="#,##0">
                  <c:v>1048</c:v>
                </c:pt>
                <c:pt idx="15" formatCode="#,##0">
                  <c:v>1121</c:v>
                </c:pt>
                <c:pt idx="16" formatCode="#,##0">
                  <c:v>1123</c:v>
                </c:pt>
                <c:pt idx="17" formatCode="#,##0">
                  <c:v>1124</c:v>
                </c:pt>
                <c:pt idx="18" formatCode="#,##0">
                  <c:v>1224</c:v>
                </c:pt>
                <c:pt idx="19" formatCode="#,##0">
                  <c:v>1273</c:v>
                </c:pt>
                <c:pt idx="20" formatCode="#,##0">
                  <c:v>1353</c:v>
                </c:pt>
                <c:pt idx="21" formatCode="#,##0">
                  <c:v>1400</c:v>
                </c:pt>
                <c:pt idx="22" formatCode="#,##0">
                  <c:v>1441</c:v>
                </c:pt>
                <c:pt idx="23" formatCode="#,##0">
                  <c:v>1474</c:v>
                </c:pt>
              </c:numCache>
            </c:numRef>
          </c:val>
          <c:extLst>
            <c:ext xmlns:c16="http://schemas.microsoft.com/office/drawing/2014/chart" uri="{C3380CC4-5D6E-409C-BE32-E72D297353CC}">
              <c16:uniqueId val="{00000046-3948-4D11-B9FE-E7A7DC43B39A}"/>
            </c:ext>
          </c:extLst>
        </c:ser>
        <c:ser>
          <c:idx val="71"/>
          <c:order val="71"/>
          <c:tx>
            <c:strRef>
              <c:f>Expert!$O$83:$R$83</c:f>
              <c:strCache>
                <c:ptCount val="4"/>
                <c:pt idx="0">
                  <c:v>West</c:v>
                </c:pt>
                <c:pt idx="1">
                  <c:v>Glue Guns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Expert!$S$83:$AP$83</c:f>
              <c:numCache>
                <c:formatCode>General</c:formatCode>
                <c:ptCount val="24"/>
                <c:pt idx="0">
                  <c:v>881</c:v>
                </c:pt>
                <c:pt idx="1">
                  <c:v>937</c:v>
                </c:pt>
                <c:pt idx="2">
                  <c:v>998</c:v>
                </c:pt>
                <c:pt idx="3" formatCode="#,##0">
                  <c:v>1030</c:v>
                </c:pt>
                <c:pt idx="4" formatCode="#,##0">
                  <c:v>1093</c:v>
                </c:pt>
                <c:pt idx="5" formatCode="#,##0">
                  <c:v>1130</c:v>
                </c:pt>
                <c:pt idx="6" formatCode="#,##0">
                  <c:v>1219</c:v>
                </c:pt>
                <c:pt idx="7" formatCode="#,##0">
                  <c:v>1238</c:v>
                </c:pt>
                <c:pt idx="8" formatCode="#,##0">
                  <c:v>1322</c:v>
                </c:pt>
                <c:pt idx="9" formatCode="#,##0">
                  <c:v>1420</c:v>
                </c:pt>
                <c:pt idx="10" formatCode="#,##0">
                  <c:v>1551</c:v>
                </c:pt>
                <c:pt idx="11" formatCode="#,##0">
                  <c:v>1579</c:v>
                </c:pt>
                <c:pt idx="12" formatCode="#,##0">
                  <c:v>1610</c:v>
                </c:pt>
                <c:pt idx="13" formatCode="#,##0">
                  <c:v>1704</c:v>
                </c:pt>
                <c:pt idx="14" formatCode="#,##0">
                  <c:v>1795</c:v>
                </c:pt>
                <c:pt idx="15" formatCode="#,##0">
                  <c:v>1844</c:v>
                </c:pt>
                <c:pt idx="16" formatCode="#,##0">
                  <c:v>1856</c:v>
                </c:pt>
                <c:pt idx="17" formatCode="#,##0">
                  <c:v>1897</c:v>
                </c:pt>
                <c:pt idx="18" formatCode="#,##0">
                  <c:v>1926</c:v>
                </c:pt>
                <c:pt idx="19" formatCode="#,##0">
                  <c:v>2088</c:v>
                </c:pt>
                <c:pt idx="20" formatCode="#,##0">
                  <c:v>2238</c:v>
                </c:pt>
                <c:pt idx="21" formatCode="#,##0">
                  <c:v>2263</c:v>
                </c:pt>
                <c:pt idx="22" formatCode="#,##0">
                  <c:v>2382</c:v>
                </c:pt>
                <c:pt idx="23" formatCode="#,##0">
                  <c:v>2608</c:v>
                </c:pt>
              </c:numCache>
            </c:numRef>
          </c:val>
          <c:extLst>
            <c:ext xmlns:c16="http://schemas.microsoft.com/office/drawing/2014/chart" uri="{C3380CC4-5D6E-409C-BE32-E72D297353CC}">
              <c16:uniqueId val="{00000047-3948-4D11-B9FE-E7A7DC43B39A}"/>
            </c:ext>
          </c:extLst>
        </c:ser>
        <c:ser>
          <c:idx val="72"/>
          <c:order val="72"/>
          <c:tx>
            <c:strRef>
              <c:f>Expert!$O$84:$R$84</c:f>
              <c:strCache>
                <c:ptCount val="4"/>
                <c:pt idx="0">
                  <c:v>North</c:v>
                </c:pt>
                <c:pt idx="1">
                  <c:v>Light Sabres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Expert!$S$84:$AP$84</c:f>
              <c:numCache>
                <c:formatCode>General</c:formatCode>
                <c:ptCount val="24"/>
                <c:pt idx="0">
                  <c:v>853</c:v>
                </c:pt>
                <c:pt idx="1">
                  <c:v>924</c:v>
                </c:pt>
                <c:pt idx="2">
                  <c:v>934</c:v>
                </c:pt>
                <c:pt idx="3">
                  <c:v>998</c:v>
                </c:pt>
                <c:pt idx="4" formatCode="#,##0">
                  <c:v>1068</c:v>
                </c:pt>
                <c:pt idx="5" formatCode="#,##0">
                  <c:v>1097</c:v>
                </c:pt>
                <c:pt idx="6" formatCode="#,##0">
                  <c:v>1112</c:v>
                </c:pt>
                <c:pt idx="7" formatCode="#,##0">
                  <c:v>1210</c:v>
                </c:pt>
                <c:pt idx="8" formatCode="#,##0">
                  <c:v>1314</c:v>
                </c:pt>
                <c:pt idx="9" formatCode="#,##0">
                  <c:v>1324</c:v>
                </c:pt>
                <c:pt idx="10" formatCode="#,##0">
                  <c:v>1391</c:v>
                </c:pt>
                <c:pt idx="11" formatCode="#,##0">
                  <c:v>1462</c:v>
                </c:pt>
                <c:pt idx="12" formatCode="#,##0">
                  <c:v>1476</c:v>
                </c:pt>
                <c:pt idx="13" formatCode="#,##0">
                  <c:v>1603</c:v>
                </c:pt>
                <c:pt idx="14" formatCode="#,##0">
                  <c:v>1608</c:v>
                </c:pt>
                <c:pt idx="15" formatCode="#,##0">
                  <c:v>1723</c:v>
                </c:pt>
                <c:pt idx="16" formatCode="#,##0">
                  <c:v>1798</c:v>
                </c:pt>
                <c:pt idx="17" formatCode="#,##0">
                  <c:v>1894</c:v>
                </c:pt>
                <c:pt idx="18" formatCode="#,##0">
                  <c:v>2027</c:v>
                </c:pt>
                <c:pt idx="19" formatCode="#,##0">
                  <c:v>2037</c:v>
                </c:pt>
                <c:pt idx="20" formatCode="#,##0">
                  <c:v>2091</c:v>
                </c:pt>
                <c:pt idx="21" formatCode="#,##0">
                  <c:v>2233</c:v>
                </c:pt>
                <c:pt idx="22" formatCode="#,##0">
                  <c:v>2320</c:v>
                </c:pt>
                <c:pt idx="23" formatCode="#,##0">
                  <c:v>2508</c:v>
                </c:pt>
              </c:numCache>
            </c:numRef>
          </c:val>
          <c:extLst>
            <c:ext xmlns:c16="http://schemas.microsoft.com/office/drawing/2014/chart" uri="{C3380CC4-5D6E-409C-BE32-E72D297353CC}">
              <c16:uniqueId val="{00000048-3948-4D11-B9FE-E7A7DC43B39A}"/>
            </c:ext>
          </c:extLst>
        </c:ser>
        <c:ser>
          <c:idx val="73"/>
          <c:order val="73"/>
          <c:tx>
            <c:strRef>
              <c:f>Expert!$O$85:$R$85</c:f>
              <c:strCache>
                <c:ptCount val="4"/>
                <c:pt idx="0">
                  <c:v>North</c:v>
                </c:pt>
                <c:pt idx="1">
                  <c:v>Light Sabres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Expert!$S$85:$AP$85</c:f>
              <c:numCache>
                <c:formatCode>General</c:formatCode>
                <c:ptCount val="24"/>
                <c:pt idx="0">
                  <c:v>803</c:v>
                </c:pt>
                <c:pt idx="1">
                  <c:v>854</c:v>
                </c:pt>
                <c:pt idx="2">
                  <c:v>862</c:v>
                </c:pt>
                <c:pt idx="3">
                  <c:v>866</c:v>
                </c:pt>
                <c:pt idx="4">
                  <c:v>931</c:v>
                </c:pt>
                <c:pt idx="5">
                  <c:v>943</c:v>
                </c:pt>
                <c:pt idx="6">
                  <c:v>971</c:v>
                </c:pt>
                <c:pt idx="7" formatCode="#,##0">
                  <c:v>1025</c:v>
                </c:pt>
                <c:pt idx="8" formatCode="#,##0">
                  <c:v>1036</c:v>
                </c:pt>
                <c:pt idx="9" formatCode="#,##0">
                  <c:v>1093</c:v>
                </c:pt>
                <c:pt idx="10" formatCode="#,##0">
                  <c:v>1174</c:v>
                </c:pt>
                <c:pt idx="11" formatCode="#,##0">
                  <c:v>1212</c:v>
                </c:pt>
                <c:pt idx="12" formatCode="#,##0">
                  <c:v>1236</c:v>
                </c:pt>
                <c:pt idx="13" formatCode="#,##0">
                  <c:v>1325</c:v>
                </c:pt>
                <c:pt idx="14" formatCode="#,##0">
                  <c:v>1424</c:v>
                </c:pt>
                <c:pt idx="15" formatCode="#,##0">
                  <c:v>1510</c:v>
                </c:pt>
                <c:pt idx="16" formatCode="#,##0">
                  <c:v>1534</c:v>
                </c:pt>
                <c:pt idx="17" formatCode="#,##0">
                  <c:v>1631</c:v>
                </c:pt>
                <c:pt idx="18" formatCode="#,##0">
                  <c:v>1791</c:v>
                </c:pt>
                <c:pt idx="19" formatCode="#,##0">
                  <c:v>1902</c:v>
                </c:pt>
                <c:pt idx="20" formatCode="#,##0">
                  <c:v>1926</c:v>
                </c:pt>
                <c:pt idx="21" formatCode="#,##0">
                  <c:v>1930</c:v>
                </c:pt>
                <c:pt idx="22" formatCode="#,##0">
                  <c:v>2027</c:v>
                </c:pt>
                <c:pt idx="23" formatCode="#,##0">
                  <c:v>2227</c:v>
                </c:pt>
              </c:numCache>
            </c:numRef>
          </c:val>
          <c:extLst>
            <c:ext xmlns:c16="http://schemas.microsoft.com/office/drawing/2014/chart" uri="{C3380CC4-5D6E-409C-BE32-E72D297353CC}">
              <c16:uniqueId val="{00000049-3948-4D11-B9FE-E7A7DC43B39A}"/>
            </c:ext>
          </c:extLst>
        </c:ser>
        <c:ser>
          <c:idx val="74"/>
          <c:order val="74"/>
          <c:tx>
            <c:strRef>
              <c:f>Expert!$O$86:$R$86</c:f>
              <c:strCache>
                <c:ptCount val="4"/>
                <c:pt idx="0">
                  <c:v>North</c:v>
                </c:pt>
                <c:pt idx="1">
                  <c:v>Light Sabres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Expert!$S$86:$AP$86</c:f>
              <c:numCache>
                <c:formatCode>General</c:formatCode>
                <c:ptCount val="24"/>
                <c:pt idx="0">
                  <c:v>535</c:v>
                </c:pt>
                <c:pt idx="1">
                  <c:v>579</c:v>
                </c:pt>
                <c:pt idx="2">
                  <c:v>583</c:v>
                </c:pt>
                <c:pt idx="3">
                  <c:v>593</c:v>
                </c:pt>
                <c:pt idx="4">
                  <c:v>616</c:v>
                </c:pt>
                <c:pt idx="5">
                  <c:v>620</c:v>
                </c:pt>
                <c:pt idx="6">
                  <c:v>639</c:v>
                </c:pt>
                <c:pt idx="7">
                  <c:v>698</c:v>
                </c:pt>
                <c:pt idx="8">
                  <c:v>731</c:v>
                </c:pt>
                <c:pt idx="9">
                  <c:v>799</c:v>
                </c:pt>
                <c:pt idx="10">
                  <c:v>811</c:v>
                </c:pt>
                <c:pt idx="11">
                  <c:v>838</c:v>
                </c:pt>
                <c:pt idx="12">
                  <c:v>880</c:v>
                </c:pt>
                <c:pt idx="13">
                  <c:v>958</c:v>
                </c:pt>
                <c:pt idx="14">
                  <c:v>994</c:v>
                </c:pt>
                <c:pt idx="15" formatCode="#,##0">
                  <c:v>1043</c:v>
                </c:pt>
                <c:pt idx="16" formatCode="#,##0">
                  <c:v>1108</c:v>
                </c:pt>
                <c:pt idx="17" formatCode="#,##0">
                  <c:v>1190</c:v>
                </c:pt>
                <c:pt idx="18" formatCode="#,##0">
                  <c:v>1207</c:v>
                </c:pt>
                <c:pt idx="19" formatCode="#,##0">
                  <c:v>1307</c:v>
                </c:pt>
                <c:pt idx="20" formatCode="#,##0">
                  <c:v>1356</c:v>
                </c:pt>
                <c:pt idx="21" formatCode="#,##0">
                  <c:v>1490</c:v>
                </c:pt>
                <c:pt idx="22" formatCode="#,##0">
                  <c:v>1511</c:v>
                </c:pt>
                <c:pt idx="23" formatCode="#,##0">
                  <c:v>1579</c:v>
                </c:pt>
              </c:numCache>
            </c:numRef>
          </c:val>
          <c:extLst>
            <c:ext xmlns:c16="http://schemas.microsoft.com/office/drawing/2014/chart" uri="{C3380CC4-5D6E-409C-BE32-E72D297353CC}">
              <c16:uniqueId val="{0000004A-3948-4D11-B9FE-E7A7DC43B39A}"/>
            </c:ext>
          </c:extLst>
        </c:ser>
        <c:ser>
          <c:idx val="75"/>
          <c:order val="75"/>
          <c:tx>
            <c:strRef>
              <c:f>Expert!$O$87:$R$87</c:f>
              <c:strCache>
                <c:ptCount val="4"/>
                <c:pt idx="0">
                  <c:v>North</c:v>
                </c:pt>
                <c:pt idx="1">
                  <c:v>Light Sabres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Expert!$S$87:$AP$87</c:f>
              <c:numCache>
                <c:formatCode>General</c:formatCode>
                <c:ptCount val="24"/>
                <c:pt idx="0">
                  <c:v>206</c:v>
                </c:pt>
                <c:pt idx="1">
                  <c:v>218</c:v>
                </c:pt>
                <c:pt idx="2">
                  <c:v>235</c:v>
                </c:pt>
                <c:pt idx="3">
                  <c:v>241</c:v>
                </c:pt>
                <c:pt idx="4">
                  <c:v>241</c:v>
                </c:pt>
                <c:pt idx="5">
                  <c:v>250</c:v>
                </c:pt>
                <c:pt idx="6">
                  <c:v>268</c:v>
                </c:pt>
                <c:pt idx="7">
                  <c:v>288</c:v>
                </c:pt>
                <c:pt idx="8">
                  <c:v>311</c:v>
                </c:pt>
                <c:pt idx="9">
                  <c:v>323</c:v>
                </c:pt>
                <c:pt idx="10">
                  <c:v>347</c:v>
                </c:pt>
                <c:pt idx="11">
                  <c:v>374</c:v>
                </c:pt>
                <c:pt idx="12">
                  <c:v>382</c:v>
                </c:pt>
                <c:pt idx="13">
                  <c:v>405</c:v>
                </c:pt>
                <c:pt idx="14">
                  <c:v>413</c:v>
                </c:pt>
                <c:pt idx="15">
                  <c:v>437</c:v>
                </c:pt>
                <c:pt idx="16">
                  <c:v>450</c:v>
                </c:pt>
                <c:pt idx="17">
                  <c:v>480</c:v>
                </c:pt>
                <c:pt idx="18">
                  <c:v>504</c:v>
                </c:pt>
                <c:pt idx="19">
                  <c:v>541</c:v>
                </c:pt>
                <c:pt idx="20">
                  <c:v>558</c:v>
                </c:pt>
                <c:pt idx="21">
                  <c:v>579</c:v>
                </c:pt>
                <c:pt idx="22">
                  <c:v>589</c:v>
                </c:pt>
                <c:pt idx="23">
                  <c:v>646</c:v>
                </c:pt>
              </c:numCache>
            </c:numRef>
          </c:val>
          <c:extLst>
            <c:ext xmlns:c16="http://schemas.microsoft.com/office/drawing/2014/chart" uri="{C3380CC4-5D6E-409C-BE32-E72D297353CC}">
              <c16:uniqueId val="{0000004B-3948-4D11-B9FE-E7A7DC43B39A}"/>
            </c:ext>
          </c:extLst>
        </c:ser>
        <c:ser>
          <c:idx val="76"/>
          <c:order val="76"/>
          <c:tx>
            <c:strRef>
              <c:f>Expert!$O$88:$R$88</c:f>
              <c:strCache>
                <c:ptCount val="4"/>
                <c:pt idx="0">
                  <c:v>North</c:v>
                </c:pt>
                <c:pt idx="1">
                  <c:v>Light Sabres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Expert!$S$88:$AP$88</c:f>
              <c:numCache>
                <c:formatCode>General</c:formatCode>
                <c:ptCount val="24"/>
                <c:pt idx="0">
                  <c:v>475</c:v>
                </c:pt>
                <c:pt idx="1">
                  <c:v>489</c:v>
                </c:pt>
                <c:pt idx="2">
                  <c:v>510</c:v>
                </c:pt>
                <c:pt idx="3">
                  <c:v>519</c:v>
                </c:pt>
                <c:pt idx="4">
                  <c:v>570</c:v>
                </c:pt>
                <c:pt idx="5">
                  <c:v>621</c:v>
                </c:pt>
                <c:pt idx="6">
                  <c:v>640</c:v>
                </c:pt>
                <c:pt idx="7">
                  <c:v>649</c:v>
                </c:pt>
                <c:pt idx="8">
                  <c:v>654</c:v>
                </c:pt>
                <c:pt idx="9">
                  <c:v>663</c:v>
                </c:pt>
                <c:pt idx="10">
                  <c:v>701</c:v>
                </c:pt>
                <c:pt idx="11">
                  <c:v>740</c:v>
                </c:pt>
                <c:pt idx="12">
                  <c:v>800</c:v>
                </c:pt>
                <c:pt idx="13">
                  <c:v>849</c:v>
                </c:pt>
                <c:pt idx="14">
                  <c:v>862</c:v>
                </c:pt>
                <c:pt idx="15">
                  <c:v>931</c:v>
                </c:pt>
                <c:pt idx="16">
                  <c:v>949</c:v>
                </c:pt>
                <c:pt idx="17" formatCode="#,##0">
                  <c:v>1014</c:v>
                </c:pt>
                <c:pt idx="18" formatCode="#,##0">
                  <c:v>1038</c:v>
                </c:pt>
                <c:pt idx="19" formatCode="#,##0">
                  <c:v>1116</c:v>
                </c:pt>
                <c:pt idx="20" formatCode="#,##0">
                  <c:v>1139</c:v>
                </c:pt>
                <c:pt idx="21" formatCode="#,##0">
                  <c:v>1141</c:v>
                </c:pt>
                <c:pt idx="22" formatCode="#,##0">
                  <c:v>1179</c:v>
                </c:pt>
                <c:pt idx="23" formatCode="#,##0">
                  <c:v>1291</c:v>
                </c:pt>
              </c:numCache>
            </c:numRef>
          </c:val>
          <c:extLst>
            <c:ext xmlns:c16="http://schemas.microsoft.com/office/drawing/2014/chart" uri="{C3380CC4-5D6E-409C-BE32-E72D297353CC}">
              <c16:uniqueId val="{0000004C-3948-4D11-B9FE-E7A7DC43B39A}"/>
            </c:ext>
          </c:extLst>
        </c:ser>
        <c:ser>
          <c:idx val="77"/>
          <c:order val="77"/>
          <c:tx>
            <c:strRef>
              <c:f>Expert!$O$89:$R$89</c:f>
              <c:strCache>
                <c:ptCount val="4"/>
                <c:pt idx="0">
                  <c:v>North</c:v>
                </c:pt>
                <c:pt idx="1">
                  <c:v>Light Sabres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Expert!$S$89:$AP$89</c:f>
              <c:numCache>
                <c:formatCode>General</c:formatCode>
                <c:ptCount val="24"/>
                <c:pt idx="0">
                  <c:v>11</c:v>
                </c:pt>
                <c:pt idx="1">
                  <c:v>11</c:v>
                </c:pt>
                <c:pt idx="2">
                  <c:v>12</c:v>
                </c:pt>
                <c:pt idx="3">
                  <c:v>13</c:v>
                </c:pt>
                <c:pt idx="4">
                  <c:v>13</c:v>
                </c:pt>
                <c:pt idx="5">
                  <c:v>13</c:v>
                </c:pt>
                <c:pt idx="6">
                  <c:v>14</c:v>
                </c:pt>
                <c:pt idx="7">
                  <c:v>14</c:v>
                </c:pt>
                <c:pt idx="8">
                  <c:v>16</c:v>
                </c:pt>
                <c:pt idx="9">
                  <c:v>17</c:v>
                </c:pt>
                <c:pt idx="10">
                  <c:v>18</c:v>
                </c:pt>
                <c:pt idx="11">
                  <c:v>18</c:v>
                </c:pt>
                <c:pt idx="12">
                  <c:v>19</c:v>
                </c:pt>
                <c:pt idx="13">
                  <c:v>21</c:v>
                </c:pt>
                <c:pt idx="14">
                  <c:v>23</c:v>
                </c:pt>
                <c:pt idx="15">
                  <c:v>24</c:v>
                </c:pt>
                <c:pt idx="16">
                  <c:v>26</c:v>
                </c:pt>
                <c:pt idx="17">
                  <c:v>27</c:v>
                </c:pt>
                <c:pt idx="18">
                  <c:v>28</c:v>
                </c:pt>
                <c:pt idx="19">
                  <c:v>30</c:v>
                </c:pt>
                <c:pt idx="20">
                  <c:v>32</c:v>
                </c:pt>
                <c:pt idx="21">
                  <c:v>32</c:v>
                </c:pt>
                <c:pt idx="22">
                  <c:v>33</c:v>
                </c:pt>
                <c:pt idx="23">
                  <c:v>34</c:v>
                </c:pt>
              </c:numCache>
            </c:numRef>
          </c:val>
          <c:extLst>
            <c:ext xmlns:c16="http://schemas.microsoft.com/office/drawing/2014/chart" uri="{C3380CC4-5D6E-409C-BE32-E72D297353CC}">
              <c16:uniqueId val="{0000004D-3948-4D11-B9FE-E7A7DC43B39A}"/>
            </c:ext>
          </c:extLst>
        </c:ser>
        <c:ser>
          <c:idx val="78"/>
          <c:order val="78"/>
          <c:tx>
            <c:strRef>
              <c:f>Expert!$O$90:$R$90</c:f>
              <c:strCache>
                <c:ptCount val="4"/>
                <c:pt idx="0">
                  <c:v>North</c:v>
                </c:pt>
                <c:pt idx="1">
                  <c:v>Light Sabres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Expert!$S$90:$AP$90</c:f>
              <c:numCache>
                <c:formatCode>General</c:formatCode>
                <c:ptCount val="24"/>
                <c:pt idx="0">
                  <c:v>820</c:v>
                </c:pt>
                <c:pt idx="1">
                  <c:v>843</c:v>
                </c:pt>
                <c:pt idx="2">
                  <c:v>849</c:v>
                </c:pt>
                <c:pt idx="3">
                  <c:v>893</c:v>
                </c:pt>
                <c:pt idx="4">
                  <c:v>937</c:v>
                </c:pt>
                <c:pt idx="5" formatCode="#,##0">
                  <c:v>1030</c:v>
                </c:pt>
                <c:pt idx="6" formatCode="#,##0">
                  <c:v>1045</c:v>
                </c:pt>
                <c:pt idx="7" formatCode="#,##0">
                  <c:v>1068</c:v>
                </c:pt>
                <c:pt idx="8" formatCode="#,##0">
                  <c:v>1068</c:v>
                </c:pt>
                <c:pt idx="9" formatCode="#,##0">
                  <c:v>1143</c:v>
                </c:pt>
                <c:pt idx="10" formatCode="#,##0">
                  <c:v>1195</c:v>
                </c:pt>
                <c:pt idx="11" formatCode="#,##0">
                  <c:v>1262</c:v>
                </c:pt>
                <c:pt idx="12" formatCode="#,##0">
                  <c:v>1292</c:v>
                </c:pt>
                <c:pt idx="13" formatCode="#,##0">
                  <c:v>1335</c:v>
                </c:pt>
                <c:pt idx="14" formatCode="#,##0">
                  <c:v>1385</c:v>
                </c:pt>
                <c:pt idx="15" formatCode="#,##0">
                  <c:v>1518</c:v>
                </c:pt>
                <c:pt idx="16" formatCode="#,##0">
                  <c:v>1639</c:v>
                </c:pt>
                <c:pt idx="17" formatCode="#,##0">
                  <c:v>1641</c:v>
                </c:pt>
                <c:pt idx="18" formatCode="#,##0">
                  <c:v>1657</c:v>
                </c:pt>
                <c:pt idx="19" formatCode="#,##0">
                  <c:v>1692</c:v>
                </c:pt>
                <c:pt idx="20" formatCode="#,##0">
                  <c:v>1718</c:v>
                </c:pt>
                <c:pt idx="21" formatCode="#,##0">
                  <c:v>1745</c:v>
                </c:pt>
                <c:pt idx="22" formatCode="#,##0">
                  <c:v>1747</c:v>
                </c:pt>
                <c:pt idx="23" formatCode="#,##0">
                  <c:v>1840</c:v>
                </c:pt>
              </c:numCache>
            </c:numRef>
          </c:val>
          <c:extLst>
            <c:ext xmlns:c16="http://schemas.microsoft.com/office/drawing/2014/chart" uri="{C3380CC4-5D6E-409C-BE32-E72D297353CC}">
              <c16:uniqueId val="{0000004E-3948-4D11-B9FE-E7A7DC43B39A}"/>
            </c:ext>
          </c:extLst>
        </c:ser>
        <c:ser>
          <c:idx val="79"/>
          <c:order val="79"/>
          <c:tx>
            <c:strRef>
              <c:f>Expert!$O$91:$R$91</c:f>
              <c:strCache>
                <c:ptCount val="4"/>
                <c:pt idx="0">
                  <c:v>North</c:v>
                </c:pt>
                <c:pt idx="1">
                  <c:v>Light Sabres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Expert!$S$91:$AP$91</c:f>
              <c:numCache>
                <c:formatCode>General</c:formatCode>
                <c:ptCount val="24"/>
                <c:pt idx="0">
                  <c:v>568</c:v>
                </c:pt>
                <c:pt idx="1">
                  <c:v>603</c:v>
                </c:pt>
                <c:pt idx="2">
                  <c:v>607</c:v>
                </c:pt>
                <c:pt idx="3">
                  <c:v>647</c:v>
                </c:pt>
                <c:pt idx="4">
                  <c:v>701</c:v>
                </c:pt>
                <c:pt idx="5">
                  <c:v>722</c:v>
                </c:pt>
                <c:pt idx="6">
                  <c:v>726</c:v>
                </c:pt>
                <c:pt idx="7">
                  <c:v>797</c:v>
                </c:pt>
                <c:pt idx="8">
                  <c:v>869</c:v>
                </c:pt>
                <c:pt idx="9">
                  <c:v>939</c:v>
                </c:pt>
                <c:pt idx="10" formatCode="#,##0">
                  <c:v>1024</c:v>
                </c:pt>
                <c:pt idx="11" formatCode="#,##0">
                  <c:v>1046</c:v>
                </c:pt>
                <c:pt idx="12" formatCode="#,##0">
                  <c:v>1128</c:v>
                </c:pt>
                <c:pt idx="13" formatCode="#,##0">
                  <c:v>1199</c:v>
                </c:pt>
                <c:pt idx="14" formatCode="#,##0">
                  <c:v>1238</c:v>
                </c:pt>
                <c:pt idx="15" formatCode="#,##0">
                  <c:v>1352</c:v>
                </c:pt>
                <c:pt idx="16" formatCode="#,##0">
                  <c:v>1364</c:v>
                </c:pt>
                <c:pt idx="17" formatCode="#,##0">
                  <c:v>1377</c:v>
                </c:pt>
                <c:pt idx="18" formatCode="#,##0">
                  <c:v>1400</c:v>
                </c:pt>
                <c:pt idx="19" formatCode="#,##0">
                  <c:v>1536</c:v>
                </c:pt>
                <c:pt idx="20" formatCode="#,##0">
                  <c:v>1541</c:v>
                </c:pt>
                <c:pt idx="21" formatCode="#,##0">
                  <c:v>1557</c:v>
                </c:pt>
                <c:pt idx="22" formatCode="#,##0">
                  <c:v>1601</c:v>
                </c:pt>
                <c:pt idx="23" formatCode="#,##0">
                  <c:v>1718</c:v>
                </c:pt>
              </c:numCache>
            </c:numRef>
          </c:val>
          <c:extLst>
            <c:ext xmlns:c16="http://schemas.microsoft.com/office/drawing/2014/chart" uri="{C3380CC4-5D6E-409C-BE32-E72D297353CC}">
              <c16:uniqueId val="{0000004F-3948-4D11-B9FE-E7A7DC43B39A}"/>
            </c:ext>
          </c:extLst>
        </c:ser>
        <c:ser>
          <c:idx val="80"/>
          <c:order val="80"/>
          <c:tx>
            <c:strRef>
              <c:f>Expert!$O$92:$R$92</c:f>
              <c:strCache>
                <c:ptCount val="4"/>
                <c:pt idx="0">
                  <c:v>North</c:v>
                </c:pt>
                <c:pt idx="1">
                  <c:v>Light Sabres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Expert!$S$92:$AP$92</c:f>
              <c:numCache>
                <c:formatCode>General</c:formatCode>
                <c:ptCount val="24"/>
                <c:pt idx="0">
                  <c:v>304</c:v>
                </c:pt>
                <c:pt idx="1">
                  <c:v>314</c:v>
                </c:pt>
                <c:pt idx="2">
                  <c:v>333</c:v>
                </c:pt>
                <c:pt idx="3">
                  <c:v>350</c:v>
                </c:pt>
                <c:pt idx="4">
                  <c:v>375</c:v>
                </c:pt>
                <c:pt idx="5">
                  <c:v>391</c:v>
                </c:pt>
                <c:pt idx="6">
                  <c:v>410</c:v>
                </c:pt>
                <c:pt idx="7">
                  <c:v>423</c:v>
                </c:pt>
                <c:pt idx="8">
                  <c:v>453</c:v>
                </c:pt>
                <c:pt idx="9">
                  <c:v>497</c:v>
                </c:pt>
                <c:pt idx="10">
                  <c:v>515</c:v>
                </c:pt>
                <c:pt idx="11">
                  <c:v>548</c:v>
                </c:pt>
                <c:pt idx="12">
                  <c:v>595</c:v>
                </c:pt>
                <c:pt idx="13">
                  <c:v>630</c:v>
                </c:pt>
                <c:pt idx="14">
                  <c:v>633</c:v>
                </c:pt>
                <c:pt idx="15">
                  <c:v>655</c:v>
                </c:pt>
                <c:pt idx="16">
                  <c:v>659</c:v>
                </c:pt>
                <c:pt idx="17">
                  <c:v>696</c:v>
                </c:pt>
                <c:pt idx="18">
                  <c:v>709</c:v>
                </c:pt>
                <c:pt idx="19">
                  <c:v>710</c:v>
                </c:pt>
                <c:pt idx="20">
                  <c:v>777</c:v>
                </c:pt>
                <c:pt idx="21">
                  <c:v>796</c:v>
                </c:pt>
                <c:pt idx="22">
                  <c:v>798</c:v>
                </c:pt>
                <c:pt idx="23">
                  <c:v>869</c:v>
                </c:pt>
              </c:numCache>
            </c:numRef>
          </c:val>
          <c:extLst>
            <c:ext xmlns:c16="http://schemas.microsoft.com/office/drawing/2014/chart" uri="{C3380CC4-5D6E-409C-BE32-E72D297353CC}">
              <c16:uniqueId val="{00000050-3948-4D11-B9FE-E7A7DC43B39A}"/>
            </c:ext>
          </c:extLst>
        </c:ser>
        <c:ser>
          <c:idx val="81"/>
          <c:order val="81"/>
          <c:tx>
            <c:strRef>
              <c:f>Expert!$O$93:$R$93</c:f>
              <c:strCache>
                <c:ptCount val="4"/>
                <c:pt idx="0">
                  <c:v>North</c:v>
                </c:pt>
                <c:pt idx="1">
                  <c:v>Light Sabres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Expert!$S$93:$AP$93</c:f>
              <c:numCache>
                <c:formatCode>General</c:formatCode>
                <c:ptCount val="24"/>
                <c:pt idx="0">
                  <c:v>166</c:v>
                </c:pt>
                <c:pt idx="1">
                  <c:v>171</c:v>
                </c:pt>
                <c:pt idx="2">
                  <c:v>175</c:v>
                </c:pt>
                <c:pt idx="3">
                  <c:v>176</c:v>
                </c:pt>
                <c:pt idx="4">
                  <c:v>184</c:v>
                </c:pt>
                <c:pt idx="5">
                  <c:v>200</c:v>
                </c:pt>
                <c:pt idx="6">
                  <c:v>205</c:v>
                </c:pt>
                <c:pt idx="7">
                  <c:v>219</c:v>
                </c:pt>
                <c:pt idx="8">
                  <c:v>233</c:v>
                </c:pt>
                <c:pt idx="9">
                  <c:v>246</c:v>
                </c:pt>
                <c:pt idx="10">
                  <c:v>253</c:v>
                </c:pt>
                <c:pt idx="11">
                  <c:v>257</c:v>
                </c:pt>
                <c:pt idx="12">
                  <c:v>257</c:v>
                </c:pt>
                <c:pt idx="13">
                  <c:v>278</c:v>
                </c:pt>
                <c:pt idx="14">
                  <c:v>292</c:v>
                </c:pt>
                <c:pt idx="15">
                  <c:v>300</c:v>
                </c:pt>
                <c:pt idx="16">
                  <c:v>309</c:v>
                </c:pt>
                <c:pt idx="17">
                  <c:v>330</c:v>
                </c:pt>
                <c:pt idx="18">
                  <c:v>336</c:v>
                </c:pt>
                <c:pt idx="19">
                  <c:v>349</c:v>
                </c:pt>
                <c:pt idx="20">
                  <c:v>371</c:v>
                </c:pt>
                <c:pt idx="21">
                  <c:v>374</c:v>
                </c:pt>
                <c:pt idx="22">
                  <c:v>395</c:v>
                </c:pt>
                <c:pt idx="23">
                  <c:v>427</c:v>
                </c:pt>
              </c:numCache>
            </c:numRef>
          </c:val>
          <c:extLst>
            <c:ext xmlns:c16="http://schemas.microsoft.com/office/drawing/2014/chart" uri="{C3380CC4-5D6E-409C-BE32-E72D297353CC}">
              <c16:uniqueId val="{00000051-3948-4D11-B9FE-E7A7DC43B39A}"/>
            </c:ext>
          </c:extLst>
        </c:ser>
        <c:ser>
          <c:idx val="82"/>
          <c:order val="82"/>
          <c:tx>
            <c:strRef>
              <c:f>Expert!$O$94:$R$94</c:f>
              <c:strCache>
                <c:ptCount val="4"/>
                <c:pt idx="0">
                  <c:v>North</c:v>
                </c:pt>
                <c:pt idx="1">
                  <c:v>Light Sabres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Expert!$S$94:$AP$94</c:f>
              <c:numCache>
                <c:formatCode>General</c:formatCode>
                <c:ptCount val="24"/>
                <c:pt idx="0">
                  <c:v>653</c:v>
                </c:pt>
                <c:pt idx="1">
                  <c:v>656</c:v>
                </c:pt>
                <c:pt idx="2">
                  <c:v>669</c:v>
                </c:pt>
                <c:pt idx="3">
                  <c:v>719</c:v>
                </c:pt>
                <c:pt idx="4">
                  <c:v>768</c:v>
                </c:pt>
                <c:pt idx="5">
                  <c:v>796</c:v>
                </c:pt>
                <c:pt idx="6">
                  <c:v>835</c:v>
                </c:pt>
                <c:pt idx="7">
                  <c:v>869</c:v>
                </c:pt>
                <c:pt idx="8">
                  <c:v>942</c:v>
                </c:pt>
                <c:pt idx="9" formatCode="#,##0">
                  <c:v>1017</c:v>
                </c:pt>
                <c:pt idx="10" formatCode="#,##0">
                  <c:v>1070</c:v>
                </c:pt>
                <c:pt idx="11" formatCode="#,##0">
                  <c:v>1076</c:v>
                </c:pt>
                <c:pt idx="12" formatCode="#,##0">
                  <c:v>1076</c:v>
                </c:pt>
                <c:pt idx="13" formatCode="#,##0">
                  <c:v>1176</c:v>
                </c:pt>
                <c:pt idx="14" formatCode="#,##0">
                  <c:v>1222</c:v>
                </c:pt>
                <c:pt idx="15" formatCode="#,##0">
                  <c:v>1267</c:v>
                </c:pt>
                <c:pt idx="16" formatCode="#,##0">
                  <c:v>1276</c:v>
                </c:pt>
                <c:pt idx="17" formatCode="#,##0">
                  <c:v>1395</c:v>
                </c:pt>
                <c:pt idx="18" formatCode="#,##0">
                  <c:v>1518</c:v>
                </c:pt>
                <c:pt idx="19" formatCode="#,##0">
                  <c:v>1563</c:v>
                </c:pt>
                <c:pt idx="20" formatCode="#,##0">
                  <c:v>1687</c:v>
                </c:pt>
                <c:pt idx="21" formatCode="#,##0">
                  <c:v>1805</c:v>
                </c:pt>
                <c:pt idx="22" formatCode="#,##0">
                  <c:v>1827</c:v>
                </c:pt>
                <c:pt idx="23" formatCode="#,##0">
                  <c:v>1920</c:v>
                </c:pt>
              </c:numCache>
            </c:numRef>
          </c:val>
          <c:extLst>
            <c:ext xmlns:c16="http://schemas.microsoft.com/office/drawing/2014/chart" uri="{C3380CC4-5D6E-409C-BE32-E72D297353CC}">
              <c16:uniqueId val="{00000052-3948-4D11-B9FE-E7A7DC43B39A}"/>
            </c:ext>
          </c:extLst>
        </c:ser>
        <c:ser>
          <c:idx val="83"/>
          <c:order val="83"/>
          <c:tx>
            <c:strRef>
              <c:f>Expert!$O$95:$R$95</c:f>
              <c:strCache>
                <c:ptCount val="4"/>
                <c:pt idx="0">
                  <c:v>North</c:v>
                </c:pt>
                <c:pt idx="1">
                  <c:v>Light Sabres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Expert!$S$95:$AP$95</c:f>
              <c:numCache>
                <c:formatCode>General</c:formatCode>
                <c:ptCount val="24"/>
                <c:pt idx="0">
                  <c:v>75</c:v>
                </c:pt>
                <c:pt idx="1">
                  <c:v>80</c:v>
                </c:pt>
                <c:pt idx="2">
                  <c:v>83</c:v>
                </c:pt>
                <c:pt idx="3">
                  <c:v>86</c:v>
                </c:pt>
                <c:pt idx="4">
                  <c:v>90</c:v>
                </c:pt>
                <c:pt idx="5">
                  <c:v>96</c:v>
                </c:pt>
                <c:pt idx="6">
                  <c:v>97</c:v>
                </c:pt>
                <c:pt idx="7">
                  <c:v>105</c:v>
                </c:pt>
                <c:pt idx="8">
                  <c:v>107</c:v>
                </c:pt>
                <c:pt idx="9">
                  <c:v>109</c:v>
                </c:pt>
                <c:pt idx="10">
                  <c:v>119</c:v>
                </c:pt>
                <c:pt idx="11">
                  <c:v>123</c:v>
                </c:pt>
                <c:pt idx="12">
                  <c:v>127</c:v>
                </c:pt>
                <c:pt idx="13">
                  <c:v>132</c:v>
                </c:pt>
                <c:pt idx="14">
                  <c:v>138</c:v>
                </c:pt>
                <c:pt idx="15">
                  <c:v>146</c:v>
                </c:pt>
                <c:pt idx="16">
                  <c:v>149</c:v>
                </c:pt>
                <c:pt idx="17">
                  <c:v>160</c:v>
                </c:pt>
                <c:pt idx="18">
                  <c:v>173</c:v>
                </c:pt>
                <c:pt idx="19">
                  <c:v>184</c:v>
                </c:pt>
                <c:pt idx="20">
                  <c:v>201</c:v>
                </c:pt>
                <c:pt idx="21">
                  <c:v>218</c:v>
                </c:pt>
                <c:pt idx="22">
                  <c:v>236</c:v>
                </c:pt>
                <c:pt idx="23">
                  <c:v>242</c:v>
                </c:pt>
              </c:numCache>
            </c:numRef>
          </c:val>
          <c:extLst>
            <c:ext xmlns:c16="http://schemas.microsoft.com/office/drawing/2014/chart" uri="{C3380CC4-5D6E-409C-BE32-E72D297353CC}">
              <c16:uniqueId val="{00000053-3948-4D11-B9FE-E7A7DC43B39A}"/>
            </c:ext>
          </c:extLst>
        </c:ser>
        <c:ser>
          <c:idx val="84"/>
          <c:order val="84"/>
          <c:tx>
            <c:strRef>
              <c:f>Expert!$O$96:$R$96</c:f>
              <c:strCache>
                <c:ptCount val="4"/>
                <c:pt idx="0">
                  <c:v>North</c:v>
                </c:pt>
                <c:pt idx="1">
                  <c:v>Transponders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Expert!$S$96:$AP$96</c:f>
              <c:numCache>
                <c:formatCode>General</c:formatCode>
                <c:ptCount val="24"/>
                <c:pt idx="0">
                  <c:v>749</c:v>
                </c:pt>
                <c:pt idx="1">
                  <c:v>770</c:v>
                </c:pt>
                <c:pt idx="2">
                  <c:v>784</c:v>
                </c:pt>
                <c:pt idx="3">
                  <c:v>845</c:v>
                </c:pt>
                <c:pt idx="4">
                  <c:v>902</c:v>
                </c:pt>
                <c:pt idx="5">
                  <c:v>916</c:v>
                </c:pt>
                <c:pt idx="6">
                  <c:v>993</c:v>
                </c:pt>
                <c:pt idx="7" formatCode="#,##0">
                  <c:v>1051</c:v>
                </c:pt>
                <c:pt idx="8" formatCode="#,##0">
                  <c:v>1150</c:v>
                </c:pt>
                <c:pt idx="9" formatCode="#,##0">
                  <c:v>1198</c:v>
                </c:pt>
                <c:pt idx="10" formatCode="#,##0">
                  <c:v>1243</c:v>
                </c:pt>
                <c:pt idx="11" formatCode="#,##0">
                  <c:v>1352</c:v>
                </c:pt>
                <c:pt idx="12" formatCode="#,##0">
                  <c:v>1477</c:v>
                </c:pt>
                <c:pt idx="13" formatCode="#,##0">
                  <c:v>1511</c:v>
                </c:pt>
                <c:pt idx="14" formatCode="#,##0">
                  <c:v>1534</c:v>
                </c:pt>
                <c:pt idx="15" formatCode="#,##0">
                  <c:v>1659</c:v>
                </c:pt>
                <c:pt idx="16" formatCode="#,##0">
                  <c:v>1823</c:v>
                </c:pt>
                <c:pt idx="17" formatCode="#,##0">
                  <c:v>1830</c:v>
                </c:pt>
                <c:pt idx="18" formatCode="#,##0">
                  <c:v>1949</c:v>
                </c:pt>
                <c:pt idx="19" formatCode="#,##0">
                  <c:v>1987</c:v>
                </c:pt>
                <c:pt idx="20" formatCode="#,##0">
                  <c:v>2128</c:v>
                </c:pt>
                <c:pt idx="21" formatCode="#,##0">
                  <c:v>2144</c:v>
                </c:pt>
                <c:pt idx="22" formatCode="#,##0">
                  <c:v>2220</c:v>
                </c:pt>
                <c:pt idx="23" formatCode="#,##0">
                  <c:v>2439</c:v>
                </c:pt>
              </c:numCache>
            </c:numRef>
          </c:val>
          <c:extLst>
            <c:ext xmlns:c16="http://schemas.microsoft.com/office/drawing/2014/chart" uri="{C3380CC4-5D6E-409C-BE32-E72D297353CC}">
              <c16:uniqueId val="{00000054-3948-4D11-B9FE-E7A7DC43B39A}"/>
            </c:ext>
          </c:extLst>
        </c:ser>
        <c:ser>
          <c:idx val="85"/>
          <c:order val="85"/>
          <c:tx>
            <c:strRef>
              <c:f>Expert!$O$97:$R$97</c:f>
              <c:strCache>
                <c:ptCount val="4"/>
                <c:pt idx="0">
                  <c:v>North</c:v>
                </c:pt>
                <c:pt idx="1">
                  <c:v>Transponders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Expert!$S$97:$AP$97</c:f>
              <c:numCache>
                <c:formatCode>General</c:formatCode>
                <c:ptCount val="24"/>
                <c:pt idx="0">
                  <c:v>257</c:v>
                </c:pt>
                <c:pt idx="1">
                  <c:v>261</c:v>
                </c:pt>
                <c:pt idx="2">
                  <c:v>263</c:v>
                </c:pt>
                <c:pt idx="3">
                  <c:v>276</c:v>
                </c:pt>
                <c:pt idx="4">
                  <c:v>280</c:v>
                </c:pt>
                <c:pt idx="5">
                  <c:v>296</c:v>
                </c:pt>
                <c:pt idx="6">
                  <c:v>300</c:v>
                </c:pt>
                <c:pt idx="7">
                  <c:v>326</c:v>
                </c:pt>
                <c:pt idx="8">
                  <c:v>334</c:v>
                </c:pt>
                <c:pt idx="9">
                  <c:v>342</c:v>
                </c:pt>
                <c:pt idx="10">
                  <c:v>353</c:v>
                </c:pt>
                <c:pt idx="11">
                  <c:v>369</c:v>
                </c:pt>
                <c:pt idx="12">
                  <c:v>390</c:v>
                </c:pt>
                <c:pt idx="13">
                  <c:v>417</c:v>
                </c:pt>
                <c:pt idx="14">
                  <c:v>428</c:v>
                </c:pt>
                <c:pt idx="15">
                  <c:v>436</c:v>
                </c:pt>
                <c:pt idx="16">
                  <c:v>451</c:v>
                </c:pt>
                <c:pt idx="17">
                  <c:v>467</c:v>
                </c:pt>
                <c:pt idx="18">
                  <c:v>491</c:v>
                </c:pt>
                <c:pt idx="19">
                  <c:v>527</c:v>
                </c:pt>
                <c:pt idx="20">
                  <c:v>541</c:v>
                </c:pt>
                <c:pt idx="21">
                  <c:v>544</c:v>
                </c:pt>
                <c:pt idx="22">
                  <c:v>545</c:v>
                </c:pt>
                <c:pt idx="23">
                  <c:v>555</c:v>
                </c:pt>
              </c:numCache>
            </c:numRef>
          </c:val>
          <c:extLst>
            <c:ext xmlns:c16="http://schemas.microsoft.com/office/drawing/2014/chart" uri="{C3380CC4-5D6E-409C-BE32-E72D297353CC}">
              <c16:uniqueId val="{00000055-3948-4D11-B9FE-E7A7DC43B39A}"/>
            </c:ext>
          </c:extLst>
        </c:ser>
        <c:ser>
          <c:idx val="86"/>
          <c:order val="86"/>
          <c:tx>
            <c:strRef>
              <c:f>Expert!$O$98:$R$98</c:f>
              <c:strCache>
                <c:ptCount val="4"/>
                <c:pt idx="0">
                  <c:v>North</c:v>
                </c:pt>
                <c:pt idx="1">
                  <c:v>Transponders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Expert!$S$98:$AP$98</c:f>
              <c:numCache>
                <c:formatCode>General</c:formatCode>
                <c:ptCount val="24"/>
                <c:pt idx="0">
                  <c:v>114</c:v>
                </c:pt>
                <c:pt idx="1">
                  <c:v>114</c:v>
                </c:pt>
                <c:pt idx="2">
                  <c:v>118</c:v>
                </c:pt>
                <c:pt idx="3">
                  <c:v>119</c:v>
                </c:pt>
                <c:pt idx="4">
                  <c:v>123</c:v>
                </c:pt>
                <c:pt idx="5">
                  <c:v>127</c:v>
                </c:pt>
                <c:pt idx="6">
                  <c:v>136</c:v>
                </c:pt>
                <c:pt idx="7">
                  <c:v>144</c:v>
                </c:pt>
                <c:pt idx="8">
                  <c:v>153</c:v>
                </c:pt>
                <c:pt idx="9">
                  <c:v>160</c:v>
                </c:pt>
                <c:pt idx="10">
                  <c:v>169</c:v>
                </c:pt>
                <c:pt idx="11">
                  <c:v>179</c:v>
                </c:pt>
                <c:pt idx="12">
                  <c:v>190</c:v>
                </c:pt>
                <c:pt idx="13">
                  <c:v>197</c:v>
                </c:pt>
                <c:pt idx="14">
                  <c:v>210</c:v>
                </c:pt>
                <c:pt idx="15">
                  <c:v>230</c:v>
                </c:pt>
                <c:pt idx="16">
                  <c:v>240</c:v>
                </c:pt>
                <c:pt idx="17">
                  <c:v>241</c:v>
                </c:pt>
                <c:pt idx="18">
                  <c:v>242</c:v>
                </c:pt>
                <c:pt idx="19">
                  <c:v>262</c:v>
                </c:pt>
                <c:pt idx="20">
                  <c:v>285</c:v>
                </c:pt>
                <c:pt idx="21">
                  <c:v>288</c:v>
                </c:pt>
                <c:pt idx="22">
                  <c:v>301</c:v>
                </c:pt>
                <c:pt idx="23">
                  <c:v>324</c:v>
                </c:pt>
              </c:numCache>
            </c:numRef>
          </c:val>
          <c:extLst>
            <c:ext xmlns:c16="http://schemas.microsoft.com/office/drawing/2014/chart" uri="{C3380CC4-5D6E-409C-BE32-E72D297353CC}">
              <c16:uniqueId val="{00000056-3948-4D11-B9FE-E7A7DC43B39A}"/>
            </c:ext>
          </c:extLst>
        </c:ser>
        <c:ser>
          <c:idx val="87"/>
          <c:order val="87"/>
          <c:tx>
            <c:strRef>
              <c:f>Expert!$O$99:$R$99</c:f>
              <c:strCache>
                <c:ptCount val="4"/>
                <c:pt idx="0">
                  <c:v>North</c:v>
                </c:pt>
                <c:pt idx="1">
                  <c:v>Transponders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Expert!$S$99:$AP$99</c:f>
              <c:numCache>
                <c:formatCode>General</c:formatCode>
                <c:ptCount val="24"/>
                <c:pt idx="0">
                  <c:v>725</c:v>
                </c:pt>
                <c:pt idx="1">
                  <c:v>774</c:v>
                </c:pt>
                <c:pt idx="2">
                  <c:v>829</c:v>
                </c:pt>
                <c:pt idx="3">
                  <c:v>853</c:v>
                </c:pt>
                <c:pt idx="4">
                  <c:v>934</c:v>
                </c:pt>
                <c:pt idx="5">
                  <c:v>995</c:v>
                </c:pt>
                <c:pt idx="6" formatCode="#,##0">
                  <c:v>1024</c:v>
                </c:pt>
                <c:pt idx="7" formatCode="#,##0">
                  <c:v>1075</c:v>
                </c:pt>
                <c:pt idx="8" formatCode="#,##0">
                  <c:v>1175</c:v>
                </c:pt>
                <c:pt idx="9" formatCode="#,##0">
                  <c:v>1211</c:v>
                </c:pt>
                <c:pt idx="10" formatCode="#,##0">
                  <c:v>1325</c:v>
                </c:pt>
                <c:pt idx="11" formatCode="#,##0">
                  <c:v>1383</c:v>
                </c:pt>
                <c:pt idx="12" formatCode="#,##0">
                  <c:v>1402</c:v>
                </c:pt>
                <c:pt idx="13" formatCode="#,##0">
                  <c:v>1488</c:v>
                </c:pt>
                <c:pt idx="14" formatCode="#,##0">
                  <c:v>1553</c:v>
                </c:pt>
                <c:pt idx="15" formatCode="#,##0">
                  <c:v>1590</c:v>
                </c:pt>
                <c:pt idx="16" formatCode="#,##0">
                  <c:v>1648</c:v>
                </c:pt>
                <c:pt idx="17" formatCode="#,##0">
                  <c:v>1675</c:v>
                </c:pt>
                <c:pt idx="18" formatCode="#,##0">
                  <c:v>1715</c:v>
                </c:pt>
                <c:pt idx="19" formatCode="#,##0">
                  <c:v>1809</c:v>
                </c:pt>
                <c:pt idx="20" formatCode="#,##0">
                  <c:v>1956</c:v>
                </c:pt>
                <c:pt idx="21" formatCode="#,##0">
                  <c:v>2001</c:v>
                </c:pt>
                <c:pt idx="22" formatCode="#,##0">
                  <c:v>2140</c:v>
                </c:pt>
                <c:pt idx="23" formatCode="#,##0">
                  <c:v>2176</c:v>
                </c:pt>
              </c:numCache>
            </c:numRef>
          </c:val>
          <c:extLst>
            <c:ext xmlns:c16="http://schemas.microsoft.com/office/drawing/2014/chart" uri="{C3380CC4-5D6E-409C-BE32-E72D297353CC}">
              <c16:uniqueId val="{00000057-3948-4D11-B9FE-E7A7DC43B39A}"/>
            </c:ext>
          </c:extLst>
        </c:ser>
        <c:ser>
          <c:idx val="88"/>
          <c:order val="88"/>
          <c:tx>
            <c:strRef>
              <c:f>Expert!$O$100:$R$100</c:f>
              <c:strCache>
                <c:ptCount val="4"/>
                <c:pt idx="0">
                  <c:v>North</c:v>
                </c:pt>
                <c:pt idx="1">
                  <c:v>Transponders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Expert!$S$100:$AP$100</c:f>
              <c:numCache>
                <c:formatCode>General</c:formatCode>
                <c:ptCount val="24"/>
                <c:pt idx="0">
                  <c:v>640</c:v>
                </c:pt>
                <c:pt idx="1">
                  <c:v>673</c:v>
                </c:pt>
                <c:pt idx="2">
                  <c:v>692</c:v>
                </c:pt>
                <c:pt idx="3">
                  <c:v>702</c:v>
                </c:pt>
                <c:pt idx="4">
                  <c:v>714</c:v>
                </c:pt>
                <c:pt idx="5">
                  <c:v>717</c:v>
                </c:pt>
                <c:pt idx="6">
                  <c:v>757</c:v>
                </c:pt>
                <c:pt idx="7">
                  <c:v>770</c:v>
                </c:pt>
                <c:pt idx="8">
                  <c:v>827</c:v>
                </c:pt>
                <c:pt idx="9">
                  <c:v>860</c:v>
                </c:pt>
                <c:pt idx="10">
                  <c:v>914</c:v>
                </c:pt>
                <c:pt idx="11" formatCode="#,##0">
                  <c:v>1003</c:v>
                </c:pt>
                <c:pt idx="12" formatCode="#,##0">
                  <c:v>1032</c:v>
                </c:pt>
                <c:pt idx="13" formatCode="#,##0">
                  <c:v>1070</c:v>
                </c:pt>
                <c:pt idx="14" formatCode="#,##0">
                  <c:v>1172</c:v>
                </c:pt>
                <c:pt idx="15" formatCode="#,##0">
                  <c:v>1232</c:v>
                </c:pt>
                <c:pt idx="16" formatCode="#,##0">
                  <c:v>1351</c:v>
                </c:pt>
                <c:pt idx="17" formatCode="#,##0">
                  <c:v>1387</c:v>
                </c:pt>
                <c:pt idx="18" formatCode="#,##0">
                  <c:v>1400</c:v>
                </c:pt>
                <c:pt idx="19" formatCode="#,##0">
                  <c:v>1481</c:v>
                </c:pt>
                <c:pt idx="20" formatCode="#,##0">
                  <c:v>1582</c:v>
                </c:pt>
                <c:pt idx="21" formatCode="#,##0">
                  <c:v>1650</c:v>
                </c:pt>
                <c:pt idx="22" formatCode="#,##0">
                  <c:v>1657</c:v>
                </c:pt>
                <c:pt idx="23" formatCode="#,##0">
                  <c:v>1712</c:v>
                </c:pt>
              </c:numCache>
            </c:numRef>
          </c:val>
          <c:extLst>
            <c:ext xmlns:c16="http://schemas.microsoft.com/office/drawing/2014/chart" uri="{C3380CC4-5D6E-409C-BE32-E72D297353CC}">
              <c16:uniqueId val="{00000058-3948-4D11-B9FE-E7A7DC43B39A}"/>
            </c:ext>
          </c:extLst>
        </c:ser>
        <c:ser>
          <c:idx val="89"/>
          <c:order val="89"/>
          <c:tx>
            <c:strRef>
              <c:f>Expert!$O$101:$R$101</c:f>
              <c:strCache>
                <c:ptCount val="4"/>
                <c:pt idx="0">
                  <c:v>North</c:v>
                </c:pt>
                <c:pt idx="1">
                  <c:v>Transponders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Expert!$S$101:$AP$101</c:f>
              <c:numCache>
                <c:formatCode>General</c:formatCode>
                <c:ptCount val="24"/>
                <c:pt idx="0">
                  <c:v>408</c:v>
                </c:pt>
                <c:pt idx="1">
                  <c:v>412</c:v>
                </c:pt>
                <c:pt idx="2">
                  <c:v>424</c:v>
                </c:pt>
                <c:pt idx="3">
                  <c:v>427</c:v>
                </c:pt>
                <c:pt idx="4">
                  <c:v>457</c:v>
                </c:pt>
                <c:pt idx="5">
                  <c:v>477</c:v>
                </c:pt>
                <c:pt idx="6">
                  <c:v>490</c:v>
                </c:pt>
                <c:pt idx="7">
                  <c:v>538</c:v>
                </c:pt>
                <c:pt idx="8">
                  <c:v>579</c:v>
                </c:pt>
                <c:pt idx="9">
                  <c:v>617</c:v>
                </c:pt>
                <c:pt idx="10">
                  <c:v>673</c:v>
                </c:pt>
                <c:pt idx="11">
                  <c:v>728</c:v>
                </c:pt>
                <c:pt idx="12">
                  <c:v>773</c:v>
                </c:pt>
                <c:pt idx="13">
                  <c:v>780</c:v>
                </c:pt>
                <c:pt idx="14">
                  <c:v>804</c:v>
                </c:pt>
                <c:pt idx="15">
                  <c:v>836</c:v>
                </c:pt>
                <c:pt idx="16">
                  <c:v>919</c:v>
                </c:pt>
                <c:pt idx="17">
                  <c:v>985</c:v>
                </c:pt>
                <c:pt idx="18" formatCode="#,##0">
                  <c:v>1083</c:v>
                </c:pt>
                <c:pt idx="19" formatCode="#,##0">
                  <c:v>1083</c:v>
                </c:pt>
                <c:pt idx="20" formatCode="#,##0">
                  <c:v>1181</c:v>
                </c:pt>
                <c:pt idx="21" formatCode="#,##0">
                  <c:v>1200</c:v>
                </c:pt>
                <c:pt idx="22" formatCode="#,##0">
                  <c:v>1252</c:v>
                </c:pt>
                <c:pt idx="23" formatCode="#,##0">
                  <c:v>1331</c:v>
                </c:pt>
              </c:numCache>
            </c:numRef>
          </c:val>
          <c:extLst>
            <c:ext xmlns:c16="http://schemas.microsoft.com/office/drawing/2014/chart" uri="{C3380CC4-5D6E-409C-BE32-E72D297353CC}">
              <c16:uniqueId val="{00000059-3948-4D11-B9FE-E7A7DC43B39A}"/>
            </c:ext>
          </c:extLst>
        </c:ser>
        <c:ser>
          <c:idx val="90"/>
          <c:order val="90"/>
          <c:tx>
            <c:strRef>
              <c:f>Expert!$O$102:$R$102</c:f>
              <c:strCache>
                <c:ptCount val="4"/>
                <c:pt idx="0">
                  <c:v>North</c:v>
                </c:pt>
                <c:pt idx="1">
                  <c:v>Transponders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Expert!$S$102:$AP$102</c:f>
              <c:numCache>
                <c:formatCode>General</c:formatCode>
                <c:ptCount val="24"/>
                <c:pt idx="0">
                  <c:v>450</c:v>
                </c:pt>
                <c:pt idx="1">
                  <c:v>458</c:v>
                </c:pt>
                <c:pt idx="2">
                  <c:v>497</c:v>
                </c:pt>
                <c:pt idx="3">
                  <c:v>516</c:v>
                </c:pt>
                <c:pt idx="4">
                  <c:v>560</c:v>
                </c:pt>
                <c:pt idx="5">
                  <c:v>585</c:v>
                </c:pt>
                <c:pt idx="6">
                  <c:v>618</c:v>
                </c:pt>
                <c:pt idx="7">
                  <c:v>622</c:v>
                </c:pt>
                <c:pt idx="8">
                  <c:v>662</c:v>
                </c:pt>
                <c:pt idx="9">
                  <c:v>675</c:v>
                </c:pt>
                <c:pt idx="10">
                  <c:v>678</c:v>
                </c:pt>
                <c:pt idx="11">
                  <c:v>713</c:v>
                </c:pt>
                <c:pt idx="12">
                  <c:v>737</c:v>
                </c:pt>
                <c:pt idx="13">
                  <c:v>798</c:v>
                </c:pt>
                <c:pt idx="14">
                  <c:v>806</c:v>
                </c:pt>
                <c:pt idx="15">
                  <c:v>827</c:v>
                </c:pt>
                <c:pt idx="16">
                  <c:v>861</c:v>
                </c:pt>
                <c:pt idx="17">
                  <c:v>934</c:v>
                </c:pt>
                <c:pt idx="18">
                  <c:v>967</c:v>
                </c:pt>
                <c:pt idx="19" formatCode="#,##0">
                  <c:v>1058</c:v>
                </c:pt>
                <c:pt idx="20" formatCode="#,##0">
                  <c:v>1102</c:v>
                </c:pt>
                <c:pt idx="21" formatCode="#,##0">
                  <c:v>1118</c:v>
                </c:pt>
                <c:pt idx="22" formatCode="#,##0">
                  <c:v>1216</c:v>
                </c:pt>
                <c:pt idx="23" formatCode="#,##0">
                  <c:v>1247</c:v>
                </c:pt>
              </c:numCache>
            </c:numRef>
          </c:val>
          <c:extLst>
            <c:ext xmlns:c16="http://schemas.microsoft.com/office/drawing/2014/chart" uri="{C3380CC4-5D6E-409C-BE32-E72D297353CC}">
              <c16:uniqueId val="{0000005A-3948-4D11-B9FE-E7A7DC43B39A}"/>
            </c:ext>
          </c:extLst>
        </c:ser>
        <c:ser>
          <c:idx val="91"/>
          <c:order val="91"/>
          <c:tx>
            <c:strRef>
              <c:f>Expert!$O$103:$R$103</c:f>
              <c:strCache>
                <c:ptCount val="4"/>
                <c:pt idx="0">
                  <c:v>North</c:v>
                </c:pt>
                <c:pt idx="1">
                  <c:v>Transponders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Expert!$S$103:$AP$103</c:f>
              <c:numCache>
                <c:formatCode>General</c:formatCode>
                <c:ptCount val="24"/>
                <c:pt idx="0">
                  <c:v>376</c:v>
                </c:pt>
                <c:pt idx="1">
                  <c:v>401</c:v>
                </c:pt>
                <c:pt idx="2">
                  <c:v>404</c:v>
                </c:pt>
                <c:pt idx="3">
                  <c:v>421</c:v>
                </c:pt>
                <c:pt idx="4">
                  <c:v>456</c:v>
                </c:pt>
                <c:pt idx="5">
                  <c:v>498</c:v>
                </c:pt>
                <c:pt idx="6">
                  <c:v>520</c:v>
                </c:pt>
                <c:pt idx="7">
                  <c:v>566</c:v>
                </c:pt>
                <c:pt idx="8">
                  <c:v>589</c:v>
                </c:pt>
                <c:pt idx="9">
                  <c:v>609</c:v>
                </c:pt>
                <c:pt idx="10">
                  <c:v>642</c:v>
                </c:pt>
                <c:pt idx="11">
                  <c:v>699</c:v>
                </c:pt>
                <c:pt idx="12">
                  <c:v>745</c:v>
                </c:pt>
                <c:pt idx="13">
                  <c:v>798</c:v>
                </c:pt>
                <c:pt idx="14">
                  <c:v>872</c:v>
                </c:pt>
                <c:pt idx="15">
                  <c:v>940</c:v>
                </c:pt>
                <c:pt idx="16">
                  <c:v>999</c:v>
                </c:pt>
                <c:pt idx="17" formatCode="#,##0">
                  <c:v>1017</c:v>
                </c:pt>
                <c:pt idx="18" formatCode="#,##0">
                  <c:v>1050</c:v>
                </c:pt>
                <c:pt idx="19" formatCode="#,##0">
                  <c:v>1082</c:v>
                </c:pt>
                <c:pt idx="20" formatCode="#,##0">
                  <c:v>1167</c:v>
                </c:pt>
                <c:pt idx="21" formatCode="#,##0">
                  <c:v>1211</c:v>
                </c:pt>
                <c:pt idx="22" formatCode="#,##0">
                  <c:v>1320</c:v>
                </c:pt>
                <c:pt idx="23" formatCode="#,##0">
                  <c:v>1411</c:v>
                </c:pt>
              </c:numCache>
            </c:numRef>
          </c:val>
          <c:extLst>
            <c:ext xmlns:c16="http://schemas.microsoft.com/office/drawing/2014/chart" uri="{C3380CC4-5D6E-409C-BE32-E72D297353CC}">
              <c16:uniqueId val="{0000005B-3948-4D11-B9FE-E7A7DC43B39A}"/>
            </c:ext>
          </c:extLst>
        </c:ser>
        <c:ser>
          <c:idx val="92"/>
          <c:order val="92"/>
          <c:tx>
            <c:strRef>
              <c:f>Expert!$O$104:$R$104</c:f>
              <c:strCache>
                <c:ptCount val="4"/>
                <c:pt idx="0">
                  <c:v>North</c:v>
                </c:pt>
                <c:pt idx="1">
                  <c:v>Transponders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Expert!$S$104:$AP$104</c:f>
              <c:numCache>
                <c:formatCode>General</c:formatCode>
                <c:ptCount val="24"/>
                <c:pt idx="0">
                  <c:v>298</c:v>
                </c:pt>
                <c:pt idx="1">
                  <c:v>322</c:v>
                </c:pt>
                <c:pt idx="2">
                  <c:v>339</c:v>
                </c:pt>
                <c:pt idx="3">
                  <c:v>361</c:v>
                </c:pt>
                <c:pt idx="4">
                  <c:v>378</c:v>
                </c:pt>
                <c:pt idx="5">
                  <c:v>395</c:v>
                </c:pt>
                <c:pt idx="6">
                  <c:v>425</c:v>
                </c:pt>
                <c:pt idx="7">
                  <c:v>467</c:v>
                </c:pt>
                <c:pt idx="8">
                  <c:v>494</c:v>
                </c:pt>
                <c:pt idx="9">
                  <c:v>527</c:v>
                </c:pt>
                <c:pt idx="10">
                  <c:v>537</c:v>
                </c:pt>
                <c:pt idx="11">
                  <c:v>566</c:v>
                </c:pt>
                <c:pt idx="12">
                  <c:v>608</c:v>
                </c:pt>
                <c:pt idx="13">
                  <c:v>608</c:v>
                </c:pt>
                <c:pt idx="14">
                  <c:v>629</c:v>
                </c:pt>
                <c:pt idx="15">
                  <c:v>640</c:v>
                </c:pt>
                <c:pt idx="16">
                  <c:v>676</c:v>
                </c:pt>
                <c:pt idx="17">
                  <c:v>681</c:v>
                </c:pt>
                <c:pt idx="18">
                  <c:v>740</c:v>
                </c:pt>
                <c:pt idx="19">
                  <c:v>785</c:v>
                </c:pt>
                <c:pt idx="20">
                  <c:v>806</c:v>
                </c:pt>
                <c:pt idx="21">
                  <c:v>808</c:v>
                </c:pt>
                <c:pt idx="22">
                  <c:v>871</c:v>
                </c:pt>
                <c:pt idx="23">
                  <c:v>908</c:v>
                </c:pt>
              </c:numCache>
            </c:numRef>
          </c:val>
          <c:extLst>
            <c:ext xmlns:c16="http://schemas.microsoft.com/office/drawing/2014/chart" uri="{C3380CC4-5D6E-409C-BE32-E72D297353CC}">
              <c16:uniqueId val="{0000005C-3948-4D11-B9FE-E7A7DC43B39A}"/>
            </c:ext>
          </c:extLst>
        </c:ser>
        <c:ser>
          <c:idx val="93"/>
          <c:order val="93"/>
          <c:tx>
            <c:strRef>
              <c:f>Expert!$O$105:$R$105</c:f>
              <c:strCache>
                <c:ptCount val="4"/>
                <c:pt idx="0">
                  <c:v>North</c:v>
                </c:pt>
                <c:pt idx="1">
                  <c:v>Transponders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Expert!$S$105:$AP$105</c:f>
              <c:numCache>
                <c:formatCode>General</c:formatCode>
                <c:ptCount val="24"/>
                <c:pt idx="0">
                  <c:v>394</c:v>
                </c:pt>
                <c:pt idx="1">
                  <c:v>411</c:v>
                </c:pt>
                <c:pt idx="2">
                  <c:v>425</c:v>
                </c:pt>
                <c:pt idx="3">
                  <c:v>452</c:v>
                </c:pt>
                <c:pt idx="4">
                  <c:v>487</c:v>
                </c:pt>
                <c:pt idx="5">
                  <c:v>531</c:v>
                </c:pt>
                <c:pt idx="6">
                  <c:v>567</c:v>
                </c:pt>
                <c:pt idx="7">
                  <c:v>593</c:v>
                </c:pt>
                <c:pt idx="8">
                  <c:v>637</c:v>
                </c:pt>
                <c:pt idx="9">
                  <c:v>669</c:v>
                </c:pt>
                <c:pt idx="10">
                  <c:v>670</c:v>
                </c:pt>
                <c:pt idx="11">
                  <c:v>735</c:v>
                </c:pt>
                <c:pt idx="12">
                  <c:v>789</c:v>
                </c:pt>
                <c:pt idx="13">
                  <c:v>841</c:v>
                </c:pt>
                <c:pt idx="14">
                  <c:v>862</c:v>
                </c:pt>
                <c:pt idx="15">
                  <c:v>899</c:v>
                </c:pt>
                <c:pt idx="16">
                  <c:v>984</c:v>
                </c:pt>
                <c:pt idx="17" formatCode="#,##0">
                  <c:v>1060</c:v>
                </c:pt>
                <c:pt idx="18" formatCode="#,##0">
                  <c:v>1091</c:v>
                </c:pt>
                <c:pt idx="19" formatCode="#,##0">
                  <c:v>1193</c:v>
                </c:pt>
                <c:pt idx="20" formatCode="#,##0">
                  <c:v>1257</c:v>
                </c:pt>
                <c:pt idx="21" formatCode="#,##0">
                  <c:v>1326</c:v>
                </c:pt>
                <c:pt idx="22" formatCode="#,##0">
                  <c:v>1342</c:v>
                </c:pt>
                <c:pt idx="23" formatCode="#,##0">
                  <c:v>1365</c:v>
                </c:pt>
              </c:numCache>
            </c:numRef>
          </c:val>
          <c:extLst>
            <c:ext xmlns:c16="http://schemas.microsoft.com/office/drawing/2014/chart" uri="{C3380CC4-5D6E-409C-BE32-E72D297353CC}">
              <c16:uniqueId val="{0000005D-3948-4D11-B9FE-E7A7DC43B39A}"/>
            </c:ext>
          </c:extLst>
        </c:ser>
        <c:ser>
          <c:idx val="94"/>
          <c:order val="94"/>
          <c:tx>
            <c:strRef>
              <c:f>Expert!$O$106:$R$106</c:f>
              <c:strCache>
                <c:ptCount val="4"/>
                <c:pt idx="0">
                  <c:v>North</c:v>
                </c:pt>
                <c:pt idx="1">
                  <c:v>Transponders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Expert!$S$106:$AP$106</c:f>
              <c:numCache>
                <c:formatCode>General</c:formatCode>
                <c:ptCount val="24"/>
                <c:pt idx="0">
                  <c:v>547</c:v>
                </c:pt>
                <c:pt idx="1">
                  <c:v>591</c:v>
                </c:pt>
                <c:pt idx="2">
                  <c:v>616</c:v>
                </c:pt>
                <c:pt idx="3">
                  <c:v>655</c:v>
                </c:pt>
                <c:pt idx="4">
                  <c:v>699</c:v>
                </c:pt>
                <c:pt idx="5">
                  <c:v>743</c:v>
                </c:pt>
                <c:pt idx="6">
                  <c:v>775</c:v>
                </c:pt>
                <c:pt idx="7">
                  <c:v>824</c:v>
                </c:pt>
                <c:pt idx="8">
                  <c:v>841</c:v>
                </c:pt>
                <c:pt idx="9">
                  <c:v>869</c:v>
                </c:pt>
                <c:pt idx="10">
                  <c:v>933</c:v>
                </c:pt>
                <c:pt idx="11">
                  <c:v>945</c:v>
                </c:pt>
                <c:pt idx="12">
                  <c:v>971</c:v>
                </c:pt>
                <c:pt idx="13" formatCode="#,##0">
                  <c:v>1050</c:v>
                </c:pt>
                <c:pt idx="14" formatCode="#,##0">
                  <c:v>1136</c:v>
                </c:pt>
                <c:pt idx="15" formatCode="#,##0">
                  <c:v>1138</c:v>
                </c:pt>
                <c:pt idx="16" formatCode="#,##0">
                  <c:v>1170</c:v>
                </c:pt>
                <c:pt idx="17" formatCode="#,##0">
                  <c:v>1217</c:v>
                </c:pt>
                <c:pt idx="18" formatCode="#,##0">
                  <c:v>1301</c:v>
                </c:pt>
                <c:pt idx="19" formatCode="#,##0">
                  <c:v>1344</c:v>
                </c:pt>
                <c:pt idx="20" formatCode="#,##0">
                  <c:v>1376</c:v>
                </c:pt>
                <c:pt idx="21" formatCode="#,##0">
                  <c:v>1453</c:v>
                </c:pt>
                <c:pt idx="22" formatCode="#,##0">
                  <c:v>1498</c:v>
                </c:pt>
                <c:pt idx="23" formatCode="#,##0">
                  <c:v>1521</c:v>
                </c:pt>
              </c:numCache>
            </c:numRef>
          </c:val>
          <c:extLst>
            <c:ext xmlns:c16="http://schemas.microsoft.com/office/drawing/2014/chart" uri="{C3380CC4-5D6E-409C-BE32-E72D297353CC}">
              <c16:uniqueId val="{0000005E-3948-4D11-B9FE-E7A7DC43B39A}"/>
            </c:ext>
          </c:extLst>
        </c:ser>
        <c:ser>
          <c:idx val="95"/>
          <c:order val="95"/>
          <c:tx>
            <c:strRef>
              <c:f>Expert!$O$107:$R$107</c:f>
              <c:strCache>
                <c:ptCount val="4"/>
                <c:pt idx="0">
                  <c:v>North</c:v>
                </c:pt>
                <c:pt idx="1">
                  <c:v>Transponders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Expert!$S$107:$AP$107</c:f>
              <c:numCache>
                <c:formatCode>General</c:formatCode>
                <c:ptCount val="24"/>
                <c:pt idx="0">
                  <c:v>152</c:v>
                </c:pt>
                <c:pt idx="1">
                  <c:v>157</c:v>
                </c:pt>
                <c:pt idx="2">
                  <c:v>168</c:v>
                </c:pt>
                <c:pt idx="3">
                  <c:v>170</c:v>
                </c:pt>
                <c:pt idx="4">
                  <c:v>178</c:v>
                </c:pt>
                <c:pt idx="5">
                  <c:v>180</c:v>
                </c:pt>
                <c:pt idx="6">
                  <c:v>193</c:v>
                </c:pt>
                <c:pt idx="7">
                  <c:v>209</c:v>
                </c:pt>
                <c:pt idx="8">
                  <c:v>209</c:v>
                </c:pt>
                <c:pt idx="9">
                  <c:v>212</c:v>
                </c:pt>
                <c:pt idx="10">
                  <c:v>229</c:v>
                </c:pt>
                <c:pt idx="11">
                  <c:v>244</c:v>
                </c:pt>
                <c:pt idx="12">
                  <c:v>251</c:v>
                </c:pt>
                <c:pt idx="13">
                  <c:v>264</c:v>
                </c:pt>
                <c:pt idx="14">
                  <c:v>265</c:v>
                </c:pt>
                <c:pt idx="15">
                  <c:v>283</c:v>
                </c:pt>
                <c:pt idx="16">
                  <c:v>305</c:v>
                </c:pt>
                <c:pt idx="17">
                  <c:v>314</c:v>
                </c:pt>
                <c:pt idx="18">
                  <c:v>323</c:v>
                </c:pt>
                <c:pt idx="19">
                  <c:v>337</c:v>
                </c:pt>
                <c:pt idx="20">
                  <c:v>370</c:v>
                </c:pt>
                <c:pt idx="21">
                  <c:v>394</c:v>
                </c:pt>
                <c:pt idx="22">
                  <c:v>402</c:v>
                </c:pt>
                <c:pt idx="23">
                  <c:v>408</c:v>
                </c:pt>
              </c:numCache>
            </c:numRef>
          </c:val>
          <c:extLst>
            <c:ext xmlns:c16="http://schemas.microsoft.com/office/drawing/2014/chart" uri="{C3380CC4-5D6E-409C-BE32-E72D297353CC}">
              <c16:uniqueId val="{0000005F-3948-4D11-B9FE-E7A7DC43B39A}"/>
            </c:ext>
          </c:extLst>
        </c:ser>
        <c:ser>
          <c:idx val="96"/>
          <c:order val="96"/>
          <c:tx>
            <c:strRef>
              <c:f>Expert!$O$108:$R$108</c:f>
              <c:strCache>
                <c:ptCount val="4"/>
                <c:pt idx="0">
                  <c:v>North</c:v>
                </c:pt>
                <c:pt idx="1">
                  <c:v>Glue Guns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Expert!$S$108:$AP$108</c:f>
              <c:numCache>
                <c:formatCode>General</c:formatCode>
                <c:ptCount val="24"/>
                <c:pt idx="0">
                  <c:v>364</c:v>
                </c:pt>
                <c:pt idx="1">
                  <c:v>371</c:v>
                </c:pt>
                <c:pt idx="2">
                  <c:v>403</c:v>
                </c:pt>
                <c:pt idx="3">
                  <c:v>407</c:v>
                </c:pt>
                <c:pt idx="4">
                  <c:v>427</c:v>
                </c:pt>
                <c:pt idx="5">
                  <c:v>431</c:v>
                </c:pt>
                <c:pt idx="6">
                  <c:v>463</c:v>
                </c:pt>
                <c:pt idx="7">
                  <c:v>499</c:v>
                </c:pt>
                <c:pt idx="8">
                  <c:v>502</c:v>
                </c:pt>
                <c:pt idx="9">
                  <c:v>546</c:v>
                </c:pt>
                <c:pt idx="10">
                  <c:v>546</c:v>
                </c:pt>
                <c:pt idx="11">
                  <c:v>555</c:v>
                </c:pt>
                <c:pt idx="12">
                  <c:v>557</c:v>
                </c:pt>
                <c:pt idx="13">
                  <c:v>585</c:v>
                </c:pt>
                <c:pt idx="14">
                  <c:v>612</c:v>
                </c:pt>
                <c:pt idx="15">
                  <c:v>619</c:v>
                </c:pt>
                <c:pt idx="16">
                  <c:v>673</c:v>
                </c:pt>
                <c:pt idx="17">
                  <c:v>682</c:v>
                </c:pt>
                <c:pt idx="18">
                  <c:v>711</c:v>
                </c:pt>
                <c:pt idx="19">
                  <c:v>745</c:v>
                </c:pt>
                <c:pt idx="20">
                  <c:v>779</c:v>
                </c:pt>
                <c:pt idx="21">
                  <c:v>808</c:v>
                </c:pt>
                <c:pt idx="22">
                  <c:v>867</c:v>
                </c:pt>
                <c:pt idx="23">
                  <c:v>911</c:v>
                </c:pt>
              </c:numCache>
            </c:numRef>
          </c:val>
          <c:extLst>
            <c:ext xmlns:c16="http://schemas.microsoft.com/office/drawing/2014/chart" uri="{C3380CC4-5D6E-409C-BE32-E72D297353CC}">
              <c16:uniqueId val="{00000060-3948-4D11-B9FE-E7A7DC43B39A}"/>
            </c:ext>
          </c:extLst>
        </c:ser>
        <c:ser>
          <c:idx val="97"/>
          <c:order val="97"/>
          <c:tx>
            <c:strRef>
              <c:f>Expert!$O$109:$R$109</c:f>
              <c:strCache>
                <c:ptCount val="4"/>
                <c:pt idx="0">
                  <c:v>North</c:v>
                </c:pt>
                <c:pt idx="1">
                  <c:v>Glue Guns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Expert!$S$109:$AP$109</c:f>
              <c:numCache>
                <c:formatCode>General</c:formatCode>
                <c:ptCount val="24"/>
                <c:pt idx="0">
                  <c:v>740</c:v>
                </c:pt>
                <c:pt idx="1">
                  <c:v>742</c:v>
                </c:pt>
                <c:pt idx="2">
                  <c:v>762</c:v>
                </c:pt>
                <c:pt idx="3">
                  <c:v>797</c:v>
                </c:pt>
                <c:pt idx="4">
                  <c:v>862</c:v>
                </c:pt>
                <c:pt idx="5">
                  <c:v>922</c:v>
                </c:pt>
                <c:pt idx="6" formatCode="#,##0">
                  <c:v>1007</c:v>
                </c:pt>
                <c:pt idx="7" formatCode="#,##0">
                  <c:v>1037</c:v>
                </c:pt>
                <c:pt idx="8" formatCode="#,##0">
                  <c:v>1068</c:v>
                </c:pt>
                <c:pt idx="9" formatCode="#,##0">
                  <c:v>1124</c:v>
                </c:pt>
                <c:pt idx="10" formatCode="#,##0">
                  <c:v>1137</c:v>
                </c:pt>
                <c:pt idx="11" formatCode="#,##0">
                  <c:v>1169</c:v>
                </c:pt>
                <c:pt idx="12" formatCode="#,##0">
                  <c:v>1223</c:v>
                </c:pt>
                <c:pt idx="13" formatCode="#,##0">
                  <c:v>1305</c:v>
                </c:pt>
                <c:pt idx="14" formatCode="#,##0">
                  <c:v>1324</c:v>
                </c:pt>
                <c:pt idx="15" formatCode="#,##0">
                  <c:v>1360</c:v>
                </c:pt>
                <c:pt idx="16" formatCode="#,##0">
                  <c:v>1376</c:v>
                </c:pt>
                <c:pt idx="17" formatCode="#,##0">
                  <c:v>1379</c:v>
                </c:pt>
                <c:pt idx="18" formatCode="#,##0">
                  <c:v>1482</c:v>
                </c:pt>
                <c:pt idx="19" formatCode="#,##0">
                  <c:v>1625</c:v>
                </c:pt>
                <c:pt idx="20" formatCode="#,##0">
                  <c:v>1781</c:v>
                </c:pt>
                <c:pt idx="21" formatCode="#,##0">
                  <c:v>1954</c:v>
                </c:pt>
                <c:pt idx="22" formatCode="#,##0">
                  <c:v>1995</c:v>
                </c:pt>
                <c:pt idx="23" formatCode="#,##0">
                  <c:v>2005</c:v>
                </c:pt>
              </c:numCache>
            </c:numRef>
          </c:val>
          <c:extLst>
            <c:ext xmlns:c16="http://schemas.microsoft.com/office/drawing/2014/chart" uri="{C3380CC4-5D6E-409C-BE32-E72D297353CC}">
              <c16:uniqueId val="{00000061-3948-4D11-B9FE-E7A7DC43B39A}"/>
            </c:ext>
          </c:extLst>
        </c:ser>
        <c:ser>
          <c:idx val="98"/>
          <c:order val="98"/>
          <c:tx>
            <c:strRef>
              <c:f>Expert!$O$110:$R$110</c:f>
              <c:strCache>
                <c:ptCount val="4"/>
                <c:pt idx="0">
                  <c:v>North</c:v>
                </c:pt>
                <c:pt idx="1">
                  <c:v>Glue Guns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Expert!$S$110:$AP$110</c:f>
              <c:numCache>
                <c:formatCode>General</c:formatCode>
                <c:ptCount val="24"/>
                <c:pt idx="0">
                  <c:v>773</c:v>
                </c:pt>
                <c:pt idx="1">
                  <c:v>847</c:v>
                </c:pt>
                <c:pt idx="2">
                  <c:v>897</c:v>
                </c:pt>
                <c:pt idx="3">
                  <c:v>963</c:v>
                </c:pt>
                <c:pt idx="4">
                  <c:v>995</c:v>
                </c:pt>
                <c:pt idx="5" formatCode="#,##0">
                  <c:v>1081</c:v>
                </c:pt>
                <c:pt idx="6" formatCode="#,##0">
                  <c:v>1099</c:v>
                </c:pt>
                <c:pt idx="7" formatCode="#,##0">
                  <c:v>1127</c:v>
                </c:pt>
                <c:pt idx="8" formatCode="#,##0">
                  <c:v>1143</c:v>
                </c:pt>
                <c:pt idx="9" formatCode="#,##0">
                  <c:v>1153</c:v>
                </c:pt>
                <c:pt idx="10" formatCode="#,##0">
                  <c:v>1256</c:v>
                </c:pt>
                <c:pt idx="11" formatCode="#,##0">
                  <c:v>1284</c:v>
                </c:pt>
                <c:pt idx="12" formatCode="#,##0">
                  <c:v>1402</c:v>
                </c:pt>
                <c:pt idx="13" formatCode="#,##0">
                  <c:v>1531</c:v>
                </c:pt>
                <c:pt idx="14" formatCode="#,##0">
                  <c:v>1577</c:v>
                </c:pt>
                <c:pt idx="15" formatCode="#,##0">
                  <c:v>1707</c:v>
                </c:pt>
                <c:pt idx="16" formatCode="#,##0">
                  <c:v>1807</c:v>
                </c:pt>
                <c:pt idx="17" formatCode="#,##0">
                  <c:v>1926</c:v>
                </c:pt>
                <c:pt idx="18" formatCode="#,##0">
                  <c:v>2104</c:v>
                </c:pt>
                <c:pt idx="19" formatCode="#,##0">
                  <c:v>2245</c:v>
                </c:pt>
                <c:pt idx="20" formatCode="#,##0">
                  <c:v>2434</c:v>
                </c:pt>
                <c:pt idx="21" formatCode="#,##0">
                  <c:v>2514</c:v>
                </c:pt>
                <c:pt idx="22" formatCode="#,##0">
                  <c:v>2737</c:v>
                </c:pt>
                <c:pt idx="23" formatCode="#,##0">
                  <c:v>2894</c:v>
                </c:pt>
              </c:numCache>
            </c:numRef>
          </c:val>
          <c:extLst>
            <c:ext xmlns:c16="http://schemas.microsoft.com/office/drawing/2014/chart" uri="{C3380CC4-5D6E-409C-BE32-E72D297353CC}">
              <c16:uniqueId val="{00000062-3948-4D11-B9FE-E7A7DC43B39A}"/>
            </c:ext>
          </c:extLst>
        </c:ser>
        <c:ser>
          <c:idx val="99"/>
          <c:order val="99"/>
          <c:tx>
            <c:strRef>
              <c:f>Expert!$O$111:$R$111</c:f>
              <c:strCache>
                <c:ptCount val="4"/>
                <c:pt idx="0">
                  <c:v>North</c:v>
                </c:pt>
                <c:pt idx="1">
                  <c:v>Glue Guns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Expert!$S$111:$AP$111</c:f>
              <c:numCache>
                <c:formatCode>General</c:formatCode>
                <c:ptCount val="24"/>
                <c:pt idx="0">
                  <c:v>754</c:v>
                </c:pt>
                <c:pt idx="1">
                  <c:v>812</c:v>
                </c:pt>
                <c:pt idx="2">
                  <c:v>837</c:v>
                </c:pt>
                <c:pt idx="3">
                  <c:v>859</c:v>
                </c:pt>
                <c:pt idx="4">
                  <c:v>873</c:v>
                </c:pt>
                <c:pt idx="5">
                  <c:v>915</c:v>
                </c:pt>
                <c:pt idx="6">
                  <c:v>966</c:v>
                </c:pt>
                <c:pt idx="7" formatCode="#,##0">
                  <c:v>1003</c:v>
                </c:pt>
                <c:pt idx="8" formatCode="#,##0">
                  <c:v>1032</c:v>
                </c:pt>
                <c:pt idx="9" formatCode="#,##0">
                  <c:v>1128</c:v>
                </c:pt>
                <c:pt idx="10" formatCode="#,##0">
                  <c:v>1133</c:v>
                </c:pt>
                <c:pt idx="11" formatCode="#,##0">
                  <c:v>1219</c:v>
                </c:pt>
                <c:pt idx="12" formatCode="#,##0">
                  <c:v>1219</c:v>
                </c:pt>
                <c:pt idx="13" formatCode="#,##0">
                  <c:v>1253</c:v>
                </c:pt>
                <c:pt idx="14" formatCode="#,##0">
                  <c:v>1378</c:v>
                </c:pt>
                <c:pt idx="15" formatCode="#,##0">
                  <c:v>1498</c:v>
                </c:pt>
                <c:pt idx="16" formatCode="#,##0">
                  <c:v>1593</c:v>
                </c:pt>
                <c:pt idx="17" formatCode="#,##0">
                  <c:v>1639</c:v>
                </c:pt>
                <c:pt idx="18" formatCode="#,##0">
                  <c:v>1800</c:v>
                </c:pt>
                <c:pt idx="19" formatCode="#,##0">
                  <c:v>1897</c:v>
                </c:pt>
                <c:pt idx="20" formatCode="#,##0">
                  <c:v>1901</c:v>
                </c:pt>
                <c:pt idx="21" formatCode="#,##0">
                  <c:v>1996</c:v>
                </c:pt>
                <c:pt idx="22" formatCode="#,##0">
                  <c:v>2132</c:v>
                </c:pt>
                <c:pt idx="23" formatCode="#,##0">
                  <c:v>2265</c:v>
                </c:pt>
              </c:numCache>
            </c:numRef>
          </c:val>
          <c:extLst>
            <c:ext xmlns:c16="http://schemas.microsoft.com/office/drawing/2014/chart" uri="{C3380CC4-5D6E-409C-BE32-E72D297353CC}">
              <c16:uniqueId val="{00000063-3948-4D11-B9FE-E7A7DC43B39A}"/>
            </c:ext>
          </c:extLst>
        </c:ser>
        <c:ser>
          <c:idx val="100"/>
          <c:order val="100"/>
          <c:tx>
            <c:strRef>
              <c:f>Expert!$O$112:$R$112</c:f>
              <c:strCache>
                <c:ptCount val="4"/>
                <c:pt idx="0">
                  <c:v>North</c:v>
                </c:pt>
                <c:pt idx="1">
                  <c:v>Glue Guns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Expert!$S$112:$AP$112</c:f>
              <c:numCache>
                <c:formatCode>General</c:formatCode>
                <c:ptCount val="24"/>
                <c:pt idx="0">
                  <c:v>613</c:v>
                </c:pt>
                <c:pt idx="1">
                  <c:v>646</c:v>
                </c:pt>
                <c:pt idx="2">
                  <c:v>711</c:v>
                </c:pt>
                <c:pt idx="3">
                  <c:v>777</c:v>
                </c:pt>
                <c:pt idx="4">
                  <c:v>850</c:v>
                </c:pt>
                <c:pt idx="5">
                  <c:v>898</c:v>
                </c:pt>
                <c:pt idx="6">
                  <c:v>918</c:v>
                </c:pt>
                <c:pt idx="7">
                  <c:v>946</c:v>
                </c:pt>
                <c:pt idx="8">
                  <c:v>969</c:v>
                </c:pt>
                <c:pt idx="9" formatCode="#,##0">
                  <c:v>1019</c:v>
                </c:pt>
                <c:pt idx="10" formatCode="#,##0">
                  <c:v>1052</c:v>
                </c:pt>
                <c:pt idx="11" formatCode="#,##0">
                  <c:v>1119</c:v>
                </c:pt>
                <c:pt idx="12" formatCode="#,##0">
                  <c:v>1175</c:v>
                </c:pt>
                <c:pt idx="13" formatCode="#,##0">
                  <c:v>1195</c:v>
                </c:pt>
                <c:pt idx="14" formatCode="#,##0">
                  <c:v>1219</c:v>
                </c:pt>
                <c:pt idx="15" formatCode="#,##0">
                  <c:v>1308</c:v>
                </c:pt>
                <c:pt idx="16" formatCode="#,##0">
                  <c:v>1427</c:v>
                </c:pt>
                <c:pt idx="17" formatCode="#,##0">
                  <c:v>1430</c:v>
                </c:pt>
                <c:pt idx="18" formatCode="#,##0">
                  <c:v>1471</c:v>
                </c:pt>
                <c:pt idx="19" formatCode="#,##0">
                  <c:v>1569</c:v>
                </c:pt>
                <c:pt idx="20" formatCode="#,##0">
                  <c:v>1706</c:v>
                </c:pt>
                <c:pt idx="21" formatCode="#,##0">
                  <c:v>1865</c:v>
                </c:pt>
                <c:pt idx="22" formatCode="#,##0">
                  <c:v>2007</c:v>
                </c:pt>
                <c:pt idx="23" formatCode="#,##0">
                  <c:v>2103</c:v>
                </c:pt>
              </c:numCache>
            </c:numRef>
          </c:val>
          <c:extLst>
            <c:ext xmlns:c16="http://schemas.microsoft.com/office/drawing/2014/chart" uri="{C3380CC4-5D6E-409C-BE32-E72D297353CC}">
              <c16:uniqueId val="{00000064-3948-4D11-B9FE-E7A7DC43B39A}"/>
            </c:ext>
          </c:extLst>
        </c:ser>
        <c:ser>
          <c:idx val="101"/>
          <c:order val="101"/>
          <c:tx>
            <c:strRef>
              <c:f>Expert!$O$113:$R$113</c:f>
              <c:strCache>
                <c:ptCount val="4"/>
                <c:pt idx="0">
                  <c:v>North</c:v>
                </c:pt>
                <c:pt idx="1">
                  <c:v>Glue Guns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Expert!$S$113:$AP$113</c:f>
              <c:numCache>
                <c:formatCode>General</c:formatCode>
                <c:ptCount val="24"/>
                <c:pt idx="0">
                  <c:v>18</c:v>
                </c:pt>
                <c:pt idx="1">
                  <c:v>19</c:v>
                </c:pt>
                <c:pt idx="2">
                  <c:v>19</c:v>
                </c:pt>
                <c:pt idx="3">
                  <c:v>20</c:v>
                </c:pt>
                <c:pt idx="4">
                  <c:v>21</c:v>
                </c:pt>
                <c:pt idx="5">
                  <c:v>23</c:v>
                </c:pt>
                <c:pt idx="6">
                  <c:v>24</c:v>
                </c:pt>
                <c:pt idx="7">
                  <c:v>24</c:v>
                </c:pt>
                <c:pt idx="8">
                  <c:v>26</c:v>
                </c:pt>
                <c:pt idx="9">
                  <c:v>26</c:v>
                </c:pt>
                <c:pt idx="10">
                  <c:v>26</c:v>
                </c:pt>
                <c:pt idx="11">
                  <c:v>27</c:v>
                </c:pt>
                <c:pt idx="12">
                  <c:v>30</c:v>
                </c:pt>
                <c:pt idx="13">
                  <c:v>30</c:v>
                </c:pt>
                <c:pt idx="14">
                  <c:v>32</c:v>
                </c:pt>
                <c:pt idx="15">
                  <c:v>32</c:v>
                </c:pt>
                <c:pt idx="16">
                  <c:v>33</c:v>
                </c:pt>
                <c:pt idx="17">
                  <c:v>34</c:v>
                </c:pt>
                <c:pt idx="18">
                  <c:v>36</c:v>
                </c:pt>
                <c:pt idx="19">
                  <c:v>37</c:v>
                </c:pt>
                <c:pt idx="20">
                  <c:v>40</c:v>
                </c:pt>
                <c:pt idx="21">
                  <c:v>40</c:v>
                </c:pt>
                <c:pt idx="22">
                  <c:v>44</c:v>
                </c:pt>
                <c:pt idx="23">
                  <c:v>47</c:v>
                </c:pt>
              </c:numCache>
            </c:numRef>
          </c:val>
          <c:extLst>
            <c:ext xmlns:c16="http://schemas.microsoft.com/office/drawing/2014/chart" uri="{C3380CC4-5D6E-409C-BE32-E72D297353CC}">
              <c16:uniqueId val="{00000065-3948-4D11-B9FE-E7A7DC43B39A}"/>
            </c:ext>
          </c:extLst>
        </c:ser>
        <c:ser>
          <c:idx val="102"/>
          <c:order val="102"/>
          <c:tx>
            <c:strRef>
              <c:f>Expert!$O$114:$R$114</c:f>
              <c:strCache>
                <c:ptCount val="4"/>
                <c:pt idx="0">
                  <c:v>North</c:v>
                </c:pt>
                <c:pt idx="1">
                  <c:v>Glue Guns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Expert!$S$114:$AP$114</c:f>
              <c:numCache>
                <c:formatCode>General</c:formatCode>
                <c:ptCount val="24"/>
                <c:pt idx="0">
                  <c:v>83</c:v>
                </c:pt>
                <c:pt idx="1">
                  <c:v>88</c:v>
                </c:pt>
                <c:pt idx="2">
                  <c:v>94</c:v>
                </c:pt>
                <c:pt idx="3">
                  <c:v>99</c:v>
                </c:pt>
                <c:pt idx="4">
                  <c:v>103</c:v>
                </c:pt>
                <c:pt idx="5">
                  <c:v>108</c:v>
                </c:pt>
                <c:pt idx="6">
                  <c:v>114</c:v>
                </c:pt>
                <c:pt idx="7">
                  <c:v>123</c:v>
                </c:pt>
                <c:pt idx="8">
                  <c:v>124</c:v>
                </c:pt>
                <c:pt idx="9">
                  <c:v>126</c:v>
                </c:pt>
                <c:pt idx="10">
                  <c:v>134</c:v>
                </c:pt>
                <c:pt idx="11">
                  <c:v>135</c:v>
                </c:pt>
                <c:pt idx="12">
                  <c:v>148</c:v>
                </c:pt>
                <c:pt idx="13">
                  <c:v>153</c:v>
                </c:pt>
                <c:pt idx="14">
                  <c:v>160</c:v>
                </c:pt>
                <c:pt idx="15">
                  <c:v>164</c:v>
                </c:pt>
                <c:pt idx="16">
                  <c:v>177</c:v>
                </c:pt>
                <c:pt idx="17">
                  <c:v>188</c:v>
                </c:pt>
                <c:pt idx="18">
                  <c:v>203</c:v>
                </c:pt>
                <c:pt idx="19">
                  <c:v>206</c:v>
                </c:pt>
                <c:pt idx="20">
                  <c:v>214</c:v>
                </c:pt>
                <c:pt idx="21">
                  <c:v>217</c:v>
                </c:pt>
                <c:pt idx="22">
                  <c:v>224</c:v>
                </c:pt>
                <c:pt idx="23">
                  <c:v>235</c:v>
                </c:pt>
              </c:numCache>
            </c:numRef>
          </c:val>
          <c:extLst>
            <c:ext xmlns:c16="http://schemas.microsoft.com/office/drawing/2014/chart" uri="{C3380CC4-5D6E-409C-BE32-E72D297353CC}">
              <c16:uniqueId val="{00000066-3948-4D11-B9FE-E7A7DC43B39A}"/>
            </c:ext>
          </c:extLst>
        </c:ser>
        <c:ser>
          <c:idx val="103"/>
          <c:order val="103"/>
          <c:tx>
            <c:strRef>
              <c:f>Expert!$O$115:$R$115</c:f>
              <c:strCache>
                <c:ptCount val="4"/>
                <c:pt idx="0">
                  <c:v>North</c:v>
                </c:pt>
                <c:pt idx="1">
                  <c:v>Glue Guns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Expert!$S$115:$AP$115</c:f>
              <c:numCache>
                <c:formatCode>#,##0</c:formatCode>
                <c:ptCount val="24"/>
                <c:pt idx="0" formatCode="General">
                  <c:v>949</c:v>
                </c:pt>
                <c:pt idx="1">
                  <c:v>1031</c:v>
                </c:pt>
                <c:pt idx="2">
                  <c:v>1092</c:v>
                </c:pt>
                <c:pt idx="3">
                  <c:v>1098</c:v>
                </c:pt>
                <c:pt idx="4">
                  <c:v>1152</c:v>
                </c:pt>
                <c:pt idx="5">
                  <c:v>1219</c:v>
                </c:pt>
                <c:pt idx="6">
                  <c:v>1278</c:v>
                </c:pt>
                <c:pt idx="7">
                  <c:v>1391</c:v>
                </c:pt>
                <c:pt idx="8">
                  <c:v>1499</c:v>
                </c:pt>
                <c:pt idx="9">
                  <c:v>1506</c:v>
                </c:pt>
                <c:pt idx="10">
                  <c:v>1572</c:v>
                </c:pt>
                <c:pt idx="11">
                  <c:v>1576</c:v>
                </c:pt>
                <c:pt idx="12">
                  <c:v>1608</c:v>
                </c:pt>
                <c:pt idx="13">
                  <c:v>1668</c:v>
                </c:pt>
                <c:pt idx="14">
                  <c:v>1713</c:v>
                </c:pt>
                <c:pt idx="15">
                  <c:v>1802</c:v>
                </c:pt>
                <c:pt idx="16">
                  <c:v>1940</c:v>
                </c:pt>
                <c:pt idx="17">
                  <c:v>2103</c:v>
                </c:pt>
                <c:pt idx="18">
                  <c:v>2237</c:v>
                </c:pt>
                <c:pt idx="19">
                  <c:v>2409</c:v>
                </c:pt>
                <c:pt idx="20">
                  <c:v>2568</c:v>
                </c:pt>
                <c:pt idx="21">
                  <c:v>2711</c:v>
                </c:pt>
                <c:pt idx="22">
                  <c:v>2803</c:v>
                </c:pt>
                <c:pt idx="23">
                  <c:v>3022</c:v>
                </c:pt>
              </c:numCache>
            </c:numRef>
          </c:val>
          <c:extLst>
            <c:ext xmlns:c16="http://schemas.microsoft.com/office/drawing/2014/chart" uri="{C3380CC4-5D6E-409C-BE32-E72D297353CC}">
              <c16:uniqueId val="{00000067-3948-4D11-B9FE-E7A7DC43B39A}"/>
            </c:ext>
          </c:extLst>
        </c:ser>
        <c:ser>
          <c:idx val="104"/>
          <c:order val="104"/>
          <c:tx>
            <c:strRef>
              <c:f>Expert!$O$116:$R$116</c:f>
              <c:strCache>
                <c:ptCount val="4"/>
                <c:pt idx="0">
                  <c:v>North</c:v>
                </c:pt>
                <c:pt idx="1">
                  <c:v>Glue Guns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Expert!$S$116:$AP$116</c:f>
              <c:numCache>
                <c:formatCode>General</c:formatCode>
                <c:ptCount val="24"/>
                <c:pt idx="0">
                  <c:v>257</c:v>
                </c:pt>
                <c:pt idx="1">
                  <c:v>262</c:v>
                </c:pt>
                <c:pt idx="2">
                  <c:v>285</c:v>
                </c:pt>
                <c:pt idx="3">
                  <c:v>303</c:v>
                </c:pt>
                <c:pt idx="4">
                  <c:v>309</c:v>
                </c:pt>
                <c:pt idx="5">
                  <c:v>314</c:v>
                </c:pt>
                <c:pt idx="6">
                  <c:v>326</c:v>
                </c:pt>
                <c:pt idx="7">
                  <c:v>345</c:v>
                </c:pt>
                <c:pt idx="8">
                  <c:v>365</c:v>
                </c:pt>
                <c:pt idx="9">
                  <c:v>395</c:v>
                </c:pt>
                <c:pt idx="10">
                  <c:v>398</c:v>
                </c:pt>
                <c:pt idx="11">
                  <c:v>436</c:v>
                </c:pt>
                <c:pt idx="12">
                  <c:v>439</c:v>
                </c:pt>
                <c:pt idx="13">
                  <c:v>470</c:v>
                </c:pt>
                <c:pt idx="14">
                  <c:v>477</c:v>
                </c:pt>
                <c:pt idx="15">
                  <c:v>508</c:v>
                </c:pt>
                <c:pt idx="16">
                  <c:v>512</c:v>
                </c:pt>
                <c:pt idx="17">
                  <c:v>526</c:v>
                </c:pt>
                <c:pt idx="18">
                  <c:v>530</c:v>
                </c:pt>
                <c:pt idx="19">
                  <c:v>548</c:v>
                </c:pt>
                <c:pt idx="20">
                  <c:v>575</c:v>
                </c:pt>
                <c:pt idx="21">
                  <c:v>594</c:v>
                </c:pt>
                <c:pt idx="22">
                  <c:v>628</c:v>
                </c:pt>
                <c:pt idx="23">
                  <c:v>677</c:v>
                </c:pt>
              </c:numCache>
            </c:numRef>
          </c:val>
          <c:extLst>
            <c:ext xmlns:c16="http://schemas.microsoft.com/office/drawing/2014/chart" uri="{C3380CC4-5D6E-409C-BE32-E72D297353CC}">
              <c16:uniqueId val="{00000068-3948-4D11-B9FE-E7A7DC43B39A}"/>
            </c:ext>
          </c:extLst>
        </c:ser>
        <c:ser>
          <c:idx val="105"/>
          <c:order val="105"/>
          <c:tx>
            <c:strRef>
              <c:f>Expert!$O$117:$R$117</c:f>
              <c:strCache>
                <c:ptCount val="4"/>
                <c:pt idx="0">
                  <c:v>North</c:v>
                </c:pt>
                <c:pt idx="1">
                  <c:v>Glue Guns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Expert!$S$117:$AP$117</c:f>
              <c:numCache>
                <c:formatCode>General</c:formatCode>
                <c:ptCount val="24"/>
                <c:pt idx="0">
                  <c:v>148</c:v>
                </c:pt>
                <c:pt idx="1">
                  <c:v>153</c:v>
                </c:pt>
                <c:pt idx="2">
                  <c:v>166</c:v>
                </c:pt>
                <c:pt idx="3">
                  <c:v>181</c:v>
                </c:pt>
                <c:pt idx="4">
                  <c:v>196</c:v>
                </c:pt>
                <c:pt idx="5">
                  <c:v>202</c:v>
                </c:pt>
                <c:pt idx="6">
                  <c:v>206</c:v>
                </c:pt>
                <c:pt idx="7">
                  <c:v>225</c:v>
                </c:pt>
                <c:pt idx="8">
                  <c:v>226</c:v>
                </c:pt>
                <c:pt idx="9">
                  <c:v>247</c:v>
                </c:pt>
                <c:pt idx="10">
                  <c:v>266</c:v>
                </c:pt>
                <c:pt idx="11">
                  <c:v>277</c:v>
                </c:pt>
                <c:pt idx="12">
                  <c:v>279</c:v>
                </c:pt>
                <c:pt idx="13">
                  <c:v>305</c:v>
                </c:pt>
                <c:pt idx="14">
                  <c:v>311</c:v>
                </c:pt>
                <c:pt idx="15">
                  <c:v>325</c:v>
                </c:pt>
                <c:pt idx="16">
                  <c:v>353</c:v>
                </c:pt>
                <c:pt idx="17">
                  <c:v>387</c:v>
                </c:pt>
                <c:pt idx="18">
                  <c:v>416</c:v>
                </c:pt>
                <c:pt idx="19">
                  <c:v>452</c:v>
                </c:pt>
                <c:pt idx="20">
                  <c:v>497</c:v>
                </c:pt>
                <c:pt idx="21">
                  <c:v>502</c:v>
                </c:pt>
                <c:pt idx="22">
                  <c:v>545</c:v>
                </c:pt>
                <c:pt idx="23">
                  <c:v>588</c:v>
                </c:pt>
              </c:numCache>
            </c:numRef>
          </c:val>
          <c:extLst>
            <c:ext xmlns:c16="http://schemas.microsoft.com/office/drawing/2014/chart" uri="{C3380CC4-5D6E-409C-BE32-E72D297353CC}">
              <c16:uniqueId val="{00000069-3948-4D11-B9FE-E7A7DC43B39A}"/>
            </c:ext>
          </c:extLst>
        </c:ser>
        <c:ser>
          <c:idx val="106"/>
          <c:order val="106"/>
          <c:tx>
            <c:strRef>
              <c:f>Expert!$O$118:$R$118</c:f>
              <c:strCache>
                <c:ptCount val="4"/>
                <c:pt idx="0">
                  <c:v>North</c:v>
                </c:pt>
                <c:pt idx="1">
                  <c:v>Glue Guns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Expert!$S$118:$AP$118</c:f>
              <c:numCache>
                <c:formatCode>General</c:formatCode>
                <c:ptCount val="24"/>
                <c:pt idx="0">
                  <c:v>801</c:v>
                </c:pt>
                <c:pt idx="1">
                  <c:v>860</c:v>
                </c:pt>
                <c:pt idx="2">
                  <c:v>917</c:v>
                </c:pt>
                <c:pt idx="3">
                  <c:v>996</c:v>
                </c:pt>
                <c:pt idx="4" formatCode="#,##0">
                  <c:v>1019</c:v>
                </c:pt>
                <c:pt idx="5" formatCode="#,##0">
                  <c:v>1064</c:v>
                </c:pt>
                <c:pt idx="6" formatCode="#,##0">
                  <c:v>1155</c:v>
                </c:pt>
                <c:pt idx="7" formatCode="#,##0">
                  <c:v>1157</c:v>
                </c:pt>
                <c:pt idx="8" formatCode="#,##0">
                  <c:v>1218</c:v>
                </c:pt>
                <c:pt idx="9" formatCode="#,##0">
                  <c:v>1332</c:v>
                </c:pt>
                <c:pt idx="10" formatCode="#,##0">
                  <c:v>1415</c:v>
                </c:pt>
                <c:pt idx="11" formatCode="#,##0">
                  <c:v>1551</c:v>
                </c:pt>
                <c:pt idx="12" formatCode="#,##0">
                  <c:v>1666</c:v>
                </c:pt>
                <c:pt idx="13" formatCode="#,##0">
                  <c:v>1807</c:v>
                </c:pt>
                <c:pt idx="14" formatCode="#,##0">
                  <c:v>1830</c:v>
                </c:pt>
                <c:pt idx="15" formatCode="#,##0">
                  <c:v>2006</c:v>
                </c:pt>
                <c:pt idx="16" formatCode="#,##0">
                  <c:v>2132</c:v>
                </c:pt>
                <c:pt idx="17" formatCode="#,##0">
                  <c:v>2236</c:v>
                </c:pt>
                <c:pt idx="18" formatCode="#,##0">
                  <c:v>2285</c:v>
                </c:pt>
                <c:pt idx="19" formatCode="#,##0">
                  <c:v>2450</c:v>
                </c:pt>
                <c:pt idx="20" formatCode="#,##0">
                  <c:v>2560</c:v>
                </c:pt>
                <c:pt idx="21" formatCode="#,##0">
                  <c:v>2687</c:v>
                </c:pt>
                <c:pt idx="22" formatCode="#,##0">
                  <c:v>2870</c:v>
                </c:pt>
                <c:pt idx="23" formatCode="#,##0">
                  <c:v>3041</c:v>
                </c:pt>
              </c:numCache>
            </c:numRef>
          </c:val>
          <c:extLst>
            <c:ext xmlns:c16="http://schemas.microsoft.com/office/drawing/2014/chart" uri="{C3380CC4-5D6E-409C-BE32-E72D297353CC}">
              <c16:uniqueId val="{0000006A-3948-4D11-B9FE-E7A7DC43B39A}"/>
            </c:ext>
          </c:extLst>
        </c:ser>
        <c:ser>
          <c:idx val="107"/>
          <c:order val="107"/>
          <c:tx>
            <c:strRef>
              <c:f>Expert!$O$119:$R$119</c:f>
              <c:strCache>
                <c:ptCount val="4"/>
                <c:pt idx="0">
                  <c:v>North</c:v>
                </c:pt>
                <c:pt idx="1">
                  <c:v>Glue Guns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Expert!$S$119:$AP$119</c:f>
              <c:numCache>
                <c:formatCode>General</c:formatCode>
                <c:ptCount val="24"/>
                <c:pt idx="0">
                  <c:v>689</c:v>
                </c:pt>
                <c:pt idx="1">
                  <c:v>712</c:v>
                </c:pt>
                <c:pt idx="2">
                  <c:v>745</c:v>
                </c:pt>
                <c:pt idx="3">
                  <c:v>784</c:v>
                </c:pt>
                <c:pt idx="4">
                  <c:v>801</c:v>
                </c:pt>
                <c:pt idx="5">
                  <c:v>805</c:v>
                </c:pt>
                <c:pt idx="6">
                  <c:v>870</c:v>
                </c:pt>
                <c:pt idx="7">
                  <c:v>944</c:v>
                </c:pt>
                <c:pt idx="8">
                  <c:v>999</c:v>
                </c:pt>
                <c:pt idx="9" formatCode="#,##0">
                  <c:v>1014</c:v>
                </c:pt>
                <c:pt idx="10" formatCode="#,##0">
                  <c:v>1063</c:v>
                </c:pt>
                <c:pt idx="11" formatCode="#,##0">
                  <c:v>1123</c:v>
                </c:pt>
                <c:pt idx="12" formatCode="#,##0">
                  <c:v>1221</c:v>
                </c:pt>
                <c:pt idx="13" formatCode="#,##0">
                  <c:v>1274</c:v>
                </c:pt>
                <c:pt idx="14" formatCode="#,##0">
                  <c:v>1321</c:v>
                </c:pt>
                <c:pt idx="15" formatCode="#,##0">
                  <c:v>1400</c:v>
                </c:pt>
                <c:pt idx="16" formatCode="#,##0">
                  <c:v>1409</c:v>
                </c:pt>
                <c:pt idx="17" formatCode="#,##0">
                  <c:v>1505</c:v>
                </c:pt>
                <c:pt idx="18" formatCode="#,##0">
                  <c:v>1555</c:v>
                </c:pt>
                <c:pt idx="19" formatCode="#,##0">
                  <c:v>1638</c:v>
                </c:pt>
                <c:pt idx="20" formatCode="#,##0">
                  <c:v>1647</c:v>
                </c:pt>
                <c:pt idx="21" formatCode="#,##0">
                  <c:v>1746</c:v>
                </c:pt>
                <c:pt idx="22" formatCode="#,##0">
                  <c:v>1815</c:v>
                </c:pt>
                <c:pt idx="23" formatCode="#,##0">
                  <c:v>1985</c:v>
                </c:pt>
              </c:numCache>
            </c:numRef>
          </c:val>
          <c:extLst>
            <c:ext xmlns:c16="http://schemas.microsoft.com/office/drawing/2014/chart" uri="{C3380CC4-5D6E-409C-BE32-E72D297353CC}">
              <c16:uniqueId val="{0000006B-3948-4D11-B9FE-E7A7DC43B39A}"/>
            </c:ext>
          </c:extLst>
        </c:ser>
        <c:ser>
          <c:idx val="108"/>
          <c:order val="108"/>
          <c:tx>
            <c:strRef>
              <c:f>Expert!$O$120:$R$120</c:f>
              <c:strCache>
                <c:ptCount val="4"/>
                <c:pt idx="0">
                  <c:v>South</c:v>
                </c:pt>
                <c:pt idx="1">
                  <c:v>Light Sabres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Expert!$S$120:$AP$120</c:f>
              <c:numCache>
                <c:formatCode>General</c:formatCode>
                <c:ptCount val="24"/>
                <c:pt idx="0">
                  <c:v>679</c:v>
                </c:pt>
                <c:pt idx="1">
                  <c:v>709</c:v>
                </c:pt>
                <c:pt idx="2">
                  <c:v>723</c:v>
                </c:pt>
                <c:pt idx="3">
                  <c:v>765</c:v>
                </c:pt>
                <c:pt idx="4">
                  <c:v>840</c:v>
                </c:pt>
                <c:pt idx="5">
                  <c:v>877</c:v>
                </c:pt>
                <c:pt idx="6">
                  <c:v>940</c:v>
                </c:pt>
                <c:pt idx="7" formatCode="#,##0">
                  <c:v>1018</c:v>
                </c:pt>
                <c:pt idx="8" formatCode="#,##0">
                  <c:v>1025</c:v>
                </c:pt>
                <c:pt idx="9" formatCode="#,##0">
                  <c:v>1111</c:v>
                </c:pt>
                <c:pt idx="10" formatCode="#,##0">
                  <c:v>1123</c:v>
                </c:pt>
                <c:pt idx="11" formatCode="#,##0">
                  <c:v>1173</c:v>
                </c:pt>
                <c:pt idx="12" formatCode="#,##0">
                  <c:v>1217</c:v>
                </c:pt>
                <c:pt idx="13" formatCode="#,##0">
                  <c:v>1231</c:v>
                </c:pt>
                <c:pt idx="14" formatCode="#,##0">
                  <c:v>1311</c:v>
                </c:pt>
                <c:pt idx="15" formatCode="#,##0">
                  <c:v>1413</c:v>
                </c:pt>
                <c:pt idx="16" formatCode="#,##0">
                  <c:v>1493</c:v>
                </c:pt>
                <c:pt idx="17" formatCode="#,##0">
                  <c:v>1593</c:v>
                </c:pt>
                <c:pt idx="18" formatCode="#,##0">
                  <c:v>1726</c:v>
                </c:pt>
                <c:pt idx="19" formatCode="#,##0">
                  <c:v>1872</c:v>
                </c:pt>
                <c:pt idx="20" formatCode="#,##0">
                  <c:v>1940</c:v>
                </c:pt>
                <c:pt idx="21" formatCode="#,##0">
                  <c:v>1998</c:v>
                </c:pt>
                <c:pt idx="22" formatCode="#,##0">
                  <c:v>2102</c:v>
                </c:pt>
                <c:pt idx="23" formatCode="#,##0">
                  <c:v>2242</c:v>
                </c:pt>
              </c:numCache>
            </c:numRef>
          </c:val>
          <c:extLst>
            <c:ext xmlns:c16="http://schemas.microsoft.com/office/drawing/2014/chart" uri="{C3380CC4-5D6E-409C-BE32-E72D297353CC}">
              <c16:uniqueId val="{0000006C-3948-4D11-B9FE-E7A7DC43B39A}"/>
            </c:ext>
          </c:extLst>
        </c:ser>
        <c:ser>
          <c:idx val="109"/>
          <c:order val="109"/>
          <c:tx>
            <c:strRef>
              <c:f>Expert!$O$121:$R$121</c:f>
              <c:strCache>
                <c:ptCount val="4"/>
                <c:pt idx="0">
                  <c:v>South</c:v>
                </c:pt>
                <c:pt idx="1">
                  <c:v>Light Sabres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Expert!$S$121:$AP$121</c:f>
              <c:numCache>
                <c:formatCode>#,##0</c:formatCode>
                <c:ptCount val="24"/>
                <c:pt idx="0" formatCode="General">
                  <c:v>949</c:v>
                </c:pt>
                <c:pt idx="1">
                  <c:v>1037</c:v>
                </c:pt>
                <c:pt idx="2">
                  <c:v>1106</c:v>
                </c:pt>
                <c:pt idx="3">
                  <c:v>1164</c:v>
                </c:pt>
                <c:pt idx="4">
                  <c:v>1181</c:v>
                </c:pt>
                <c:pt idx="5">
                  <c:v>1221</c:v>
                </c:pt>
                <c:pt idx="6">
                  <c:v>1266</c:v>
                </c:pt>
                <c:pt idx="7">
                  <c:v>1328</c:v>
                </c:pt>
                <c:pt idx="8">
                  <c:v>1363</c:v>
                </c:pt>
                <c:pt idx="9">
                  <c:v>1450</c:v>
                </c:pt>
                <c:pt idx="10">
                  <c:v>1489</c:v>
                </c:pt>
                <c:pt idx="11">
                  <c:v>1627</c:v>
                </c:pt>
                <c:pt idx="12">
                  <c:v>1760</c:v>
                </c:pt>
                <c:pt idx="13">
                  <c:v>1829</c:v>
                </c:pt>
                <c:pt idx="14">
                  <c:v>1859</c:v>
                </c:pt>
                <c:pt idx="15">
                  <c:v>1961</c:v>
                </c:pt>
                <c:pt idx="16">
                  <c:v>2015</c:v>
                </c:pt>
                <c:pt idx="17">
                  <c:v>2022</c:v>
                </c:pt>
                <c:pt idx="18">
                  <c:v>2026</c:v>
                </c:pt>
                <c:pt idx="19">
                  <c:v>2207</c:v>
                </c:pt>
                <c:pt idx="20">
                  <c:v>2316</c:v>
                </c:pt>
                <c:pt idx="21">
                  <c:v>2377</c:v>
                </c:pt>
                <c:pt idx="22">
                  <c:v>2610</c:v>
                </c:pt>
                <c:pt idx="23">
                  <c:v>2830</c:v>
                </c:pt>
              </c:numCache>
            </c:numRef>
          </c:val>
          <c:extLst>
            <c:ext xmlns:c16="http://schemas.microsoft.com/office/drawing/2014/chart" uri="{C3380CC4-5D6E-409C-BE32-E72D297353CC}">
              <c16:uniqueId val="{0000006D-3948-4D11-B9FE-E7A7DC43B39A}"/>
            </c:ext>
          </c:extLst>
        </c:ser>
        <c:ser>
          <c:idx val="110"/>
          <c:order val="110"/>
          <c:tx>
            <c:strRef>
              <c:f>Expert!$O$122:$R$122</c:f>
              <c:strCache>
                <c:ptCount val="4"/>
                <c:pt idx="0">
                  <c:v>South</c:v>
                </c:pt>
                <c:pt idx="1">
                  <c:v>Light Sabres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Expert!$S$122:$AP$122</c:f>
              <c:numCache>
                <c:formatCode>General</c:formatCode>
                <c:ptCount val="24"/>
                <c:pt idx="0">
                  <c:v>699</c:v>
                </c:pt>
                <c:pt idx="1">
                  <c:v>746</c:v>
                </c:pt>
                <c:pt idx="2">
                  <c:v>776</c:v>
                </c:pt>
                <c:pt idx="3">
                  <c:v>826</c:v>
                </c:pt>
                <c:pt idx="4">
                  <c:v>863</c:v>
                </c:pt>
                <c:pt idx="5">
                  <c:v>896</c:v>
                </c:pt>
                <c:pt idx="6">
                  <c:v>963</c:v>
                </c:pt>
                <c:pt idx="7" formatCode="#,##0">
                  <c:v>1033</c:v>
                </c:pt>
                <c:pt idx="8" formatCode="#,##0">
                  <c:v>1127</c:v>
                </c:pt>
                <c:pt idx="9" formatCode="#,##0">
                  <c:v>1166</c:v>
                </c:pt>
                <c:pt idx="10" formatCode="#,##0">
                  <c:v>1172</c:v>
                </c:pt>
                <c:pt idx="11" formatCode="#,##0">
                  <c:v>1215</c:v>
                </c:pt>
                <c:pt idx="12" formatCode="#,##0">
                  <c:v>1255</c:v>
                </c:pt>
                <c:pt idx="13" formatCode="#,##0">
                  <c:v>1345</c:v>
                </c:pt>
                <c:pt idx="14" formatCode="#,##0">
                  <c:v>1407</c:v>
                </c:pt>
                <c:pt idx="15" formatCode="#,##0">
                  <c:v>1496</c:v>
                </c:pt>
                <c:pt idx="16" formatCode="#,##0">
                  <c:v>1501</c:v>
                </c:pt>
                <c:pt idx="17" formatCode="#,##0">
                  <c:v>1644</c:v>
                </c:pt>
                <c:pt idx="18" formatCode="#,##0">
                  <c:v>1707</c:v>
                </c:pt>
                <c:pt idx="19" formatCode="#,##0">
                  <c:v>1838</c:v>
                </c:pt>
                <c:pt idx="20" formatCode="#,##0">
                  <c:v>1876</c:v>
                </c:pt>
                <c:pt idx="21" formatCode="#,##0">
                  <c:v>2029</c:v>
                </c:pt>
                <c:pt idx="22" formatCode="#,##0">
                  <c:v>2209</c:v>
                </c:pt>
                <c:pt idx="23" formatCode="#,##0">
                  <c:v>2359</c:v>
                </c:pt>
              </c:numCache>
            </c:numRef>
          </c:val>
          <c:extLst>
            <c:ext xmlns:c16="http://schemas.microsoft.com/office/drawing/2014/chart" uri="{C3380CC4-5D6E-409C-BE32-E72D297353CC}">
              <c16:uniqueId val="{0000006E-3948-4D11-B9FE-E7A7DC43B39A}"/>
            </c:ext>
          </c:extLst>
        </c:ser>
        <c:ser>
          <c:idx val="111"/>
          <c:order val="111"/>
          <c:tx>
            <c:strRef>
              <c:f>Expert!$O$123:$R$123</c:f>
              <c:strCache>
                <c:ptCount val="4"/>
                <c:pt idx="0">
                  <c:v>South</c:v>
                </c:pt>
                <c:pt idx="1">
                  <c:v>Light Sabres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Expert!$S$123:$AP$123</c:f>
              <c:numCache>
                <c:formatCode>General</c:formatCode>
                <c:ptCount val="24"/>
                <c:pt idx="0">
                  <c:v>548</c:v>
                </c:pt>
                <c:pt idx="1">
                  <c:v>579</c:v>
                </c:pt>
                <c:pt idx="2">
                  <c:v>590</c:v>
                </c:pt>
                <c:pt idx="3">
                  <c:v>644</c:v>
                </c:pt>
                <c:pt idx="4">
                  <c:v>706</c:v>
                </c:pt>
                <c:pt idx="5">
                  <c:v>722</c:v>
                </c:pt>
                <c:pt idx="6">
                  <c:v>764</c:v>
                </c:pt>
                <c:pt idx="7">
                  <c:v>768</c:v>
                </c:pt>
                <c:pt idx="8">
                  <c:v>829</c:v>
                </c:pt>
                <c:pt idx="9">
                  <c:v>879</c:v>
                </c:pt>
                <c:pt idx="10">
                  <c:v>911</c:v>
                </c:pt>
                <c:pt idx="11">
                  <c:v>939</c:v>
                </c:pt>
                <c:pt idx="12">
                  <c:v>964</c:v>
                </c:pt>
                <c:pt idx="13">
                  <c:v>967</c:v>
                </c:pt>
                <c:pt idx="14" formatCode="#,##0">
                  <c:v>1057</c:v>
                </c:pt>
                <c:pt idx="15" formatCode="#,##0">
                  <c:v>1114</c:v>
                </c:pt>
                <c:pt idx="16" formatCode="#,##0">
                  <c:v>1158</c:v>
                </c:pt>
                <c:pt idx="17" formatCode="#,##0">
                  <c:v>1265</c:v>
                </c:pt>
                <c:pt idx="18" formatCode="#,##0">
                  <c:v>1375</c:v>
                </c:pt>
                <c:pt idx="19" formatCode="#,##0">
                  <c:v>1432</c:v>
                </c:pt>
                <c:pt idx="20" formatCode="#,##0">
                  <c:v>1461</c:v>
                </c:pt>
                <c:pt idx="21" formatCode="#,##0">
                  <c:v>1554</c:v>
                </c:pt>
                <c:pt idx="22" formatCode="#,##0">
                  <c:v>1600</c:v>
                </c:pt>
                <c:pt idx="23" formatCode="#,##0">
                  <c:v>1607</c:v>
                </c:pt>
              </c:numCache>
            </c:numRef>
          </c:val>
          <c:extLst>
            <c:ext xmlns:c16="http://schemas.microsoft.com/office/drawing/2014/chart" uri="{C3380CC4-5D6E-409C-BE32-E72D297353CC}">
              <c16:uniqueId val="{0000006F-3948-4D11-B9FE-E7A7DC43B39A}"/>
            </c:ext>
          </c:extLst>
        </c:ser>
        <c:ser>
          <c:idx val="112"/>
          <c:order val="112"/>
          <c:tx>
            <c:strRef>
              <c:f>Expert!$O$124:$R$124</c:f>
              <c:strCache>
                <c:ptCount val="4"/>
                <c:pt idx="0">
                  <c:v>South</c:v>
                </c:pt>
                <c:pt idx="1">
                  <c:v>Light Sabres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Expert!$S$124:$AP$124</c:f>
              <c:numCache>
                <c:formatCode>General</c:formatCode>
                <c:ptCount val="24"/>
                <c:pt idx="0">
                  <c:v>524</c:v>
                </c:pt>
                <c:pt idx="1">
                  <c:v>553</c:v>
                </c:pt>
                <c:pt idx="2">
                  <c:v>566</c:v>
                </c:pt>
                <c:pt idx="3">
                  <c:v>573</c:v>
                </c:pt>
                <c:pt idx="4">
                  <c:v>586</c:v>
                </c:pt>
                <c:pt idx="5">
                  <c:v>603</c:v>
                </c:pt>
                <c:pt idx="6">
                  <c:v>614</c:v>
                </c:pt>
                <c:pt idx="7">
                  <c:v>621</c:v>
                </c:pt>
                <c:pt idx="8">
                  <c:v>623</c:v>
                </c:pt>
                <c:pt idx="9">
                  <c:v>661</c:v>
                </c:pt>
                <c:pt idx="10">
                  <c:v>713</c:v>
                </c:pt>
                <c:pt idx="11">
                  <c:v>774</c:v>
                </c:pt>
                <c:pt idx="12">
                  <c:v>779</c:v>
                </c:pt>
                <c:pt idx="13">
                  <c:v>849</c:v>
                </c:pt>
                <c:pt idx="14">
                  <c:v>894</c:v>
                </c:pt>
                <c:pt idx="15">
                  <c:v>960</c:v>
                </c:pt>
                <c:pt idx="16" formatCode="#,##0">
                  <c:v>1005</c:v>
                </c:pt>
                <c:pt idx="17" formatCode="#,##0">
                  <c:v>1049</c:v>
                </c:pt>
                <c:pt idx="18" formatCode="#,##0">
                  <c:v>1109</c:v>
                </c:pt>
                <c:pt idx="19" formatCode="#,##0">
                  <c:v>1171</c:v>
                </c:pt>
                <c:pt idx="20" formatCode="#,##0">
                  <c:v>1186</c:v>
                </c:pt>
                <c:pt idx="21" formatCode="#,##0">
                  <c:v>1253</c:v>
                </c:pt>
                <c:pt idx="22" formatCode="#,##0">
                  <c:v>1356</c:v>
                </c:pt>
                <c:pt idx="23" formatCode="#,##0">
                  <c:v>1458</c:v>
                </c:pt>
              </c:numCache>
            </c:numRef>
          </c:val>
          <c:extLst>
            <c:ext xmlns:c16="http://schemas.microsoft.com/office/drawing/2014/chart" uri="{C3380CC4-5D6E-409C-BE32-E72D297353CC}">
              <c16:uniqueId val="{00000070-3948-4D11-B9FE-E7A7DC43B39A}"/>
            </c:ext>
          </c:extLst>
        </c:ser>
        <c:ser>
          <c:idx val="113"/>
          <c:order val="113"/>
          <c:tx>
            <c:strRef>
              <c:f>Expert!$O$125:$R$125</c:f>
              <c:strCache>
                <c:ptCount val="4"/>
                <c:pt idx="0">
                  <c:v>South</c:v>
                </c:pt>
                <c:pt idx="1">
                  <c:v>Light Sabres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Expert!$S$125:$AP$125</c:f>
              <c:numCache>
                <c:formatCode>General</c:formatCode>
                <c:ptCount val="24"/>
                <c:pt idx="0">
                  <c:v>872</c:v>
                </c:pt>
                <c:pt idx="1">
                  <c:v>876</c:v>
                </c:pt>
                <c:pt idx="2">
                  <c:v>916</c:v>
                </c:pt>
                <c:pt idx="3">
                  <c:v>922</c:v>
                </c:pt>
                <c:pt idx="4">
                  <c:v>968</c:v>
                </c:pt>
                <c:pt idx="5">
                  <c:v>996</c:v>
                </c:pt>
                <c:pt idx="6" formatCode="#,##0">
                  <c:v>1006</c:v>
                </c:pt>
                <c:pt idx="7" formatCode="#,##0">
                  <c:v>1057</c:v>
                </c:pt>
                <c:pt idx="8" formatCode="#,##0">
                  <c:v>1086</c:v>
                </c:pt>
                <c:pt idx="9" formatCode="#,##0">
                  <c:v>1145</c:v>
                </c:pt>
                <c:pt idx="10" formatCode="#,##0">
                  <c:v>1223</c:v>
                </c:pt>
                <c:pt idx="11" formatCode="#,##0">
                  <c:v>1285</c:v>
                </c:pt>
                <c:pt idx="12" formatCode="#,##0">
                  <c:v>1401</c:v>
                </c:pt>
                <c:pt idx="13" formatCode="#,##0">
                  <c:v>1418</c:v>
                </c:pt>
                <c:pt idx="14" formatCode="#,##0">
                  <c:v>1549</c:v>
                </c:pt>
                <c:pt idx="15" formatCode="#,##0">
                  <c:v>1645</c:v>
                </c:pt>
                <c:pt idx="16" formatCode="#,##0">
                  <c:v>1771</c:v>
                </c:pt>
                <c:pt idx="17" formatCode="#,##0">
                  <c:v>1826</c:v>
                </c:pt>
                <c:pt idx="18" formatCode="#,##0">
                  <c:v>1925</c:v>
                </c:pt>
                <c:pt idx="19" formatCode="#,##0">
                  <c:v>2039</c:v>
                </c:pt>
                <c:pt idx="20" formatCode="#,##0">
                  <c:v>2241</c:v>
                </c:pt>
                <c:pt idx="21" formatCode="#,##0">
                  <c:v>2292</c:v>
                </c:pt>
                <c:pt idx="22" formatCode="#,##0">
                  <c:v>2497</c:v>
                </c:pt>
                <c:pt idx="23" formatCode="#,##0">
                  <c:v>2547</c:v>
                </c:pt>
              </c:numCache>
            </c:numRef>
          </c:val>
          <c:extLst>
            <c:ext xmlns:c16="http://schemas.microsoft.com/office/drawing/2014/chart" uri="{C3380CC4-5D6E-409C-BE32-E72D297353CC}">
              <c16:uniqueId val="{00000071-3948-4D11-B9FE-E7A7DC43B39A}"/>
            </c:ext>
          </c:extLst>
        </c:ser>
        <c:ser>
          <c:idx val="114"/>
          <c:order val="114"/>
          <c:tx>
            <c:strRef>
              <c:f>Expert!$O$126:$R$126</c:f>
              <c:strCache>
                <c:ptCount val="4"/>
                <c:pt idx="0">
                  <c:v>South</c:v>
                </c:pt>
                <c:pt idx="1">
                  <c:v>Light Sabres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Expert!$S$126:$AP$126</c:f>
              <c:numCache>
                <c:formatCode>General</c:formatCode>
                <c:ptCount val="24"/>
                <c:pt idx="0">
                  <c:v>496</c:v>
                </c:pt>
                <c:pt idx="1">
                  <c:v>536</c:v>
                </c:pt>
                <c:pt idx="2">
                  <c:v>550</c:v>
                </c:pt>
                <c:pt idx="3">
                  <c:v>554</c:v>
                </c:pt>
                <c:pt idx="4">
                  <c:v>564</c:v>
                </c:pt>
                <c:pt idx="5">
                  <c:v>579</c:v>
                </c:pt>
                <c:pt idx="6">
                  <c:v>625</c:v>
                </c:pt>
                <c:pt idx="7">
                  <c:v>656</c:v>
                </c:pt>
                <c:pt idx="8">
                  <c:v>659</c:v>
                </c:pt>
                <c:pt idx="9">
                  <c:v>676</c:v>
                </c:pt>
                <c:pt idx="10">
                  <c:v>711</c:v>
                </c:pt>
                <c:pt idx="11">
                  <c:v>771</c:v>
                </c:pt>
                <c:pt idx="12">
                  <c:v>808</c:v>
                </c:pt>
                <c:pt idx="13">
                  <c:v>861</c:v>
                </c:pt>
                <c:pt idx="14">
                  <c:v>922</c:v>
                </c:pt>
                <c:pt idx="15">
                  <c:v>985</c:v>
                </c:pt>
                <c:pt idx="16">
                  <c:v>995</c:v>
                </c:pt>
                <c:pt idx="17" formatCode="#,##0">
                  <c:v>1049</c:v>
                </c:pt>
                <c:pt idx="18" formatCode="#,##0">
                  <c:v>1090</c:v>
                </c:pt>
                <c:pt idx="19" formatCode="#,##0">
                  <c:v>1114</c:v>
                </c:pt>
                <c:pt idx="20" formatCode="#,##0">
                  <c:v>1152</c:v>
                </c:pt>
                <c:pt idx="21" formatCode="#,##0">
                  <c:v>1178</c:v>
                </c:pt>
                <c:pt idx="22" formatCode="#,##0">
                  <c:v>1188</c:v>
                </c:pt>
                <c:pt idx="23" formatCode="#,##0">
                  <c:v>1206</c:v>
                </c:pt>
              </c:numCache>
            </c:numRef>
          </c:val>
          <c:extLst>
            <c:ext xmlns:c16="http://schemas.microsoft.com/office/drawing/2014/chart" uri="{C3380CC4-5D6E-409C-BE32-E72D297353CC}">
              <c16:uniqueId val="{00000072-3948-4D11-B9FE-E7A7DC43B39A}"/>
            </c:ext>
          </c:extLst>
        </c:ser>
        <c:ser>
          <c:idx val="115"/>
          <c:order val="115"/>
          <c:tx>
            <c:strRef>
              <c:f>Expert!$O$127:$R$127</c:f>
              <c:strCache>
                <c:ptCount val="4"/>
                <c:pt idx="0">
                  <c:v>South</c:v>
                </c:pt>
                <c:pt idx="1">
                  <c:v>Light Sabres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Expert!$S$127:$AP$127</c:f>
              <c:numCache>
                <c:formatCode>General</c:formatCode>
                <c:ptCount val="24"/>
                <c:pt idx="0">
                  <c:v>574</c:v>
                </c:pt>
                <c:pt idx="1">
                  <c:v>629</c:v>
                </c:pt>
                <c:pt idx="2">
                  <c:v>638</c:v>
                </c:pt>
                <c:pt idx="3">
                  <c:v>660</c:v>
                </c:pt>
                <c:pt idx="4">
                  <c:v>695</c:v>
                </c:pt>
                <c:pt idx="5">
                  <c:v>757</c:v>
                </c:pt>
                <c:pt idx="6">
                  <c:v>774</c:v>
                </c:pt>
                <c:pt idx="7">
                  <c:v>846</c:v>
                </c:pt>
                <c:pt idx="8">
                  <c:v>882</c:v>
                </c:pt>
                <c:pt idx="9">
                  <c:v>898</c:v>
                </c:pt>
                <c:pt idx="10">
                  <c:v>986</c:v>
                </c:pt>
                <c:pt idx="11" formatCode="#,##0">
                  <c:v>1030</c:v>
                </c:pt>
                <c:pt idx="12" formatCode="#,##0">
                  <c:v>1100</c:v>
                </c:pt>
                <c:pt idx="13" formatCode="#,##0">
                  <c:v>1159</c:v>
                </c:pt>
                <c:pt idx="14" formatCode="#,##0">
                  <c:v>1223</c:v>
                </c:pt>
                <c:pt idx="15" formatCode="#,##0">
                  <c:v>1305</c:v>
                </c:pt>
                <c:pt idx="16" formatCode="#,##0">
                  <c:v>1387</c:v>
                </c:pt>
                <c:pt idx="17" formatCode="#,##0">
                  <c:v>1395</c:v>
                </c:pt>
                <c:pt idx="18" formatCode="#,##0">
                  <c:v>1492</c:v>
                </c:pt>
                <c:pt idx="19" formatCode="#,##0">
                  <c:v>1565</c:v>
                </c:pt>
                <c:pt idx="20" formatCode="#,##0">
                  <c:v>1648</c:v>
                </c:pt>
                <c:pt idx="21" formatCode="#,##0">
                  <c:v>1693</c:v>
                </c:pt>
                <c:pt idx="22" formatCode="#,##0">
                  <c:v>1822</c:v>
                </c:pt>
                <c:pt idx="23" formatCode="#,##0">
                  <c:v>1949</c:v>
                </c:pt>
              </c:numCache>
            </c:numRef>
          </c:val>
          <c:extLst>
            <c:ext xmlns:c16="http://schemas.microsoft.com/office/drawing/2014/chart" uri="{C3380CC4-5D6E-409C-BE32-E72D297353CC}">
              <c16:uniqueId val="{00000073-3948-4D11-B9FE-E7A7DC43B39A}"/>
            </c:ext>
          </c:extLst>
        </c:ser>
        <c:ser>
          <c:idx val="116"/>
          <c:order val="116"/>
          <c:tx>
            <c:strRef>
              <c:f>Expert!$O$128:$R$128</c:f>
              <c:strCache>
                <c:ptCount val="4"/>
                <c:pt idx="0">
                  <c:v>South</c:v>
                </c:pt>
                <c:pt idx="1">
                  <c:v>Light Sabres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Expert!$S$128:$AP$128</c:f>
              <c:numCache>
                <c:formatCode>General</c:formatCode>
                <c:ptCount val="24"/>
                <c:pt idx="0">
                  <c:v>877</c:v>
                </c:pt>
                <c:pt idx="1">
                  <c:v>923</c:v>
                </c:pt>
                <c:pt idx="2">
                  <c:v>957</c:v>
                </c:pt>
                <c:pt idx="3">
                  <c:v>982</c:v>
                </c:pt>
                <c:pt idx="4" formatCode="#,##0">
                  <c:v>1050</c:v>
                </c:pt>
                <c:pt idx="5" formatCode="#,##0">
                  <c:v>1073</c:v>
                </c:pt>
                <c:pt idx="6" formatCode="#,##0">
                  <c:v>1174</c:v>
                </c:pt>
                <c:pt idx="7" formatCode="#,##0">
                  <c:v>1225</c:v>
                </c:pt>
                <c:pt idx="8" formatCode="#,##0">
                  <c:v>1345</c:v>
                </c:pt>
                <c:pt idx="9" formatCode="#,##0">
                  <c:v>1394</c:v>
                </c:pt>
                <c:pt idx="10" formatCode="#,##0">
                  <c:v>1525</c:v>
                </c:pt>
                <c:pt idx="11" formatCode="#,##0">
                  <c:v>1528</c:v>
                </c:pt>
                <c:pt idx="12" formatCode="#,##0">
                  <c:v>1607</c:v>
                </c:pt>
                <c:pt idx="13" formatCode="#,##0">
                  <c:v>1748</c:v>
                </c:pt>
                <c:pt idx="14" formatCode="#,##0">
                  <c:v>1879</c:v>
                </c:pt>
                <c:pt idx="15" formatCode="#,##0">
                  <c:v>2036</c:v>
                </c:pt>
                <c:pt idx="16" formatCode="#,##0">
                  <c:v>2234</c:v>
                </c:pt>
                <c:pt idx="17" formatCode="#,##0">
                  <c:v>2258</c:v>
                </c:pt>
                <c:pt idx="18" formatCode="#,##0">
                  <c:v>2457</c:v>
                </c:pt>
                <c:pt idx="19" formatCode="#,##0">
                  <c:v>2600</c:v>
                </c:pt>
                <c:pt idx="20" formatCode="#,##0">
                  <c:v>2797</c:v>
                </c:pt>
                <c:pt idx="21" formatCode="#,##0">
                  <c:v>2833</c:v>
                </c:pt>
                <c:pt idx="22" formatCode="#,##0">
                  <c:v>2887</c:v>
                </c:pt>
                <c:pt idx="23" formatCode="#,##0">
                  <c:v>2983</c:v>
                </c:pt>
              </c:numCache>
            </c:numRef>
          </c:val>
          <c:extLst>
            <c:ext xmlns:c16="http://schemas.microsoft.com/office/drawing/2014/chart" uri="{C3380CC4-5D6E-409C-BE32-E72D297353CC}">
              <c16:uniqueId val="{00000074-3948-4D11-B9FE-E7A7DC43B39A}"/>
            </c:ext>
          </c:extLst>
        </c:ser>
        <c:ser>
          <c:idx val="117"/>
          <c:order val="117"/>
          <c:tx>
            <c:strRef>
              <c:f>Expert!$O$129:$R$129</c:f>
              <c:strCache>
                <c:ptCount val="4"/>
                <c:pt idx="0">
                  <c:v>South</c:v>
                </c:pt>
                <c:pt idx="1">
                  <c:v>Light Sabres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Expert!$S$129:$AP$129</c:f>
              <c:numCache>
                <c:formatCode>General</c:formatCode>
                <c:ptCount val="24"/>
                <c:pt idx="0">
                  <c:v>100</c:v>
                </c:pt>
                <c:pt idx="1">
                  <c:v>109</c:v>
                </c:pt>
                <c:pt idx="2">
                  <c:v>118</c:v>
                </c:pt>
                <c:pt idx="3">
                  <c:v>121</c:v>
                </c:pt>
                <c:pt idx="4">
                  <c:v>122</c:v>
                </c:pt>
                <c:pt idx="5">
                  <c:v>132</c:v>
                </c:pt>
                <c:pt idx="6">
                  <c:v>137</c:v>
                </c:pt>
                <c:pt idx="7">
                  <c:v>139</c:v>
                </c:pt>
                <c:pt idx="8">
                  <c:v>141</c:v>
                </c:pt>
                <c:pt idx="9">
                  <c:v>146</c:v>
                </c:pt>
                <c:pt idx="10">
                  <c:v>159</c:v>
                </c:pt>
                <c:pt idx="11">
                  <c:v>164</c:v>
                </c:pt>
                <c:pt idx="12">
                  <c:v>169</c:v>
                </c:pt>
                <c:pt idx="13">
                  <c:v>183</c:v>
                </c:pt>
                <c:pt idx="14">
                  <c:v>190</c:v>
                </c:pt>
                <c:pt idx="15">
                  <c:v>207</c:v>
                </c:pt>
                <c:pt idx="16">
                  <c:v>213</c:v>
                </c:pt>
                <c:pt idx="17">
                  <c:v>226</c:v>
                </c:pt>
                <c:pt idx="18">
                  <c:v>245</c:v>
                </c:pt>
                <c:pt idx="19">
                  <c:v>270</c:v>
                </c:pt>
                <c:pt idx="20">
                  <c:v>292</c:v>
                </c:pt>
                <c:pt idx="21">
                  <c:v>311</c:v>
                </c:pt>
                <c:pt idx="22">
                  <c:v>328</c:v>
                </c:pt>
                <c:pt idx="23">
                  <c:v>347</c:v>
                </c:pt>
              </c:numCache>
            </c:numRef>
          </c:val>
          <c:extLst>
            <c:ext xmlns:c16="http://schemas.microsoft.com/office/drawing/2014/chart" uri="{C3380CC4-5D6E-409C-BE32-E72D297353CC}">
              <c16:uniqueId val="{00000075-3948-4D11-B9FE-E7A7DC43B39A}"/>
            </c:ext>
          </c:extLst>
        </c:ser>
        <c:ser>
          <c:idx val="118"/>
          <c:order val="118"/>
          <c:tx>
            <c:strRef>
              <c:f>Expert!$O$130:$R$130</c:f>
              <c:strCache>
                <c:ptCount val="4"/>
                <c:pt idx="0">
                  <c:v>South</c:v>
                </c:pt>
                <c:pt idx="1">
                  <c:v>Light Sabres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Expert!$S$130:$AP$130</c:f>
              <c:numCache>
                <c:formatCode>General</c:formatCode>
                <c:ptCount val="24"/>
                <c:pt idx="0">
                  <c:v>466</c:v>
                </c:pt>
                <c:pt idx="1">
                  <c:v>506</c:v>
                </c:pt>
                <c:pt idx="2">
                  <c:v>551</c:v>
                </c:pt>
                <c:pt idx="3">
                  <c:v>555</c:v>
                </c:pt>
                <c:pt idx="4">
                  <c:v>608</c:v>
                </c:pt>
                <c:pt idx="5">
                  <c:v>665</c:v>
                </c:pt>
                <c:pt idx="6">
                  <c:v>670</c:v>
                </c:pt>
                <c:pt idx="7">
                  <c:v>716</c:v>
                </c:pt>
                <c:pt idx="8">
                  <c:v>733</c:v>
                </c:pt>
                <c:pt idx="9">
                  <c:v>782</c:v>
                </c:pt>
                <c:pt idx="10">
                  <c:v>808</c:v>
                </c:pt>
                <c:pt idx="11">
                  <c:v>812</c:v>
                </c:pt>
                <c:pt idx="12">
                  <c:v>840</c:v>
                </c:pt>
                <c:pt idx="13">
                  <c:v>850</c:v>
                </c:pt>
                <c:pt idx="14">
                  <c:v>925</c:v>
                </c:pt>
                <c:pt idx="15" formatCode="#,##0">
                  <c:v>1016</c:v>
                </c:pt>
                <c:pt idx="16" formatCode="#,##0">
                  <c:v>1106</c:v>
                </c:pt>
                <c:pt idx="17" formatCode="#,##0">
                  <c:v>1141</c:v>
                </c:pt>
                <c:pt idx="18" formatCode="#,##0">
                  <c:v>1194</c:v>
                </c:pt>
                <c:pt idx="19" formatCode="#,##0">
                  <c:v>1235</c:v>
                </c:pt>
                <c:pt idx="20" formatCode="#,##0">
                  <c:v>1300</c:v>
                </c:pt>
                <c:pt idx="21" formatCode="#,##0">
                  <c:v>1358</c:v>
                </c:pt>
                <c:pt idx="22" formatCode="#,##0">
                  <c:v>1464</c:v>
                </c:pt>
                <c:pt idx="23" formatCode="#,##0">
                  <c:v>1507</c:v>
                </c:pt>
              </c:numCache>
            </c:numRef>
          </c:val>
          <c:extLst>
            <c:ext xmlns:c16="http://schemas.microsoft.com/office/drawing/2014/chart" uri="{C3380CC4-5D6E-409C-BE32-E72D297353CC}">
              <c16:uniqueId val="{00000076-3948-4D11-B9FE-E7A7DC43B39A}"/>
            </c:ext>
          </c:extLst>
        </c:ser>
        <c:ser>
          <c:idx val="119"/>
          <c:order val="119"/>
          <c:tx>
            <c:strRef>
              <c:f>Expert!$O$131:$R$131</c:f>
              <c:strCache>
                <c:ptCount val="4"/>
                <c:pt idx="0">
                  <c:v>South</c:v>
                </c:pt>
                <c:pt idx="1">
                  <c:v>Light Sabres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Expert!$S$131:$AP$131</c:f>
              <c:numCache>
                <c:formatCode>General</c:formatCode>
                <c:ptCount val="24"/>
                <c:pt idx="0">
                  <c:v>391</c:v>
                </c:pt>
                <c:pt idx="1">
                  <c:v>393</c:v>
                </c:pt>
                <c:pt idx="2">
                  <c:v>426</c:v>
                </c:pt>
                <c:pt idx="3">
                  <c:v>427</c:v>
                </c:pt>
                <c:pt idx="4">
                  <c:v>449</c:v>
                </c:pt>
                <c:pt idx="5">
                  <c:v>480</c:v>
                </c:pt>
                <c:pt idx="6">
                  <c:v>483</c:v>
                </c:pt>
                <c:pt idx="7">
                  <c:v>531</c:v>
                </c:pt>
                <c:pt idx="8">
                  <c:v>564</c:v>
                </c:pt>
                <c:pt idx="9">
                  <c:v>590</c:v>
                </c:pt>
                <c:pt idx="10">
                  <c:v>649</c:v>
                </c:pt>
                <c:pt idx="11">
                  <c:v>696</c:v>
                </c:pt>
                <c:pt idx="12">
                  <c:v>726</c:v>
                </c:pt>
                <c:pt idx="13">
                  <c:v>786</c:v>
                </c:pt>
                <c:pt idx="14">
                  <c:v>863</c:v>
                </c:pt>
                <c:pt idx="15">
                  <c:v>922</c:v>
                </c:pt>
                <c:pt idx="16">
                  <c:v>927</c:v>
                </c:pt>
                <c:pt idx="17">
                  <c:v>956</c:v>
                </c:pt>
                <c:pt idx="18">
                  <c:v>961</c:v>
                </c:pt>
                <c:pt idx="19">
                  <c:v>995</c:v>
                </c:pt>
                <c:pt idx="20" formatCode="#,##0">
                  <c:v>1086</c:v>
                </c:pt>
                <c:pt idx="21" formatCode="#,##0">
                  <c:v>1128</c:v>
                </c:pt>
                <c:pt idx="22" formatCode="#,##0">
                  <c:v>1237</c:v>
                </c:pt>
                <c:pt idx="23" formatCode="#,##0">
                  <c:v>1266</c:v>
                </c:pt>
              </c:numCache>
            </c:numRef>
          </c:val>
          <c:extLst>
            <c:ext xmlns:c16="http://schemas.microsoft.com/office/drawing/2014/chart" uri="{C3380CC4-5D6E-409C-BE32-E72D297353CC}">
              <c16:uniqueId val="{00000077-3948-4D11-B9FE-E7A7DC43B39A}"/>
            </c:ext>
          </c:extLst>
        </c:ser>
        <c:ser>
          <c:idx val="120"/>
          <c:order val="120"/>
          <c:tx>
            <c:strRef>
              <c:f>Expert!$O$132:$R$132</c:f>
              <c:strCache>
                <c:ptCount val="4"/>
                <c:pt idx="0">
                  <c:v>South</c:v>
                </c:pt>
                <c:pt idx="1">
                  <c:v>Transponders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Expert!$S$132:$AP$132</c:f>
              <c:numCache>
                <c:formatCode>General</c:formatCode>
                <c:ptCount val="24"/>
                <c:pt idx="0">
                  <c:v>478</c:v>
                </c:pt>
                <c:pt idx="1">
                  <c:v>491</c:v>
                </c:pt>
                <c:pt idx="2">
                  <c:v>511</c:v>
                </c:pt>
                <c:pt idx="3">
                  <c:v>512</c:v>
                </c:pt>
                <c:pt idx="4">
                  <c:v>533</c:v>
                </c:pt>
                <c:pt idx="5">
                  <c:v>553</c:v>
                </c:pt>
                <c:pt idx="6">
                  <c:v>556</c:v>
                </c:pt>
                <c:pt idx="7">
                  <c:v>587</c:v>
                </c:pt>
                <c:pt idx="8">
                  <c:v>617</c:v>
                </c:pt>
                <c:pt idx="9">
                  <c:v>662</c:v>
                </c:pt>
                <c:pt idx="10">
                  <c:v>711</c:v>
                </c:pt>
                <c:pt idx="11">
                  <c:v>724</c:v>
                </c:pt>
                <c:pt idx="12">
                  <c:v>795</c:v>
                </c:pt>
                <c:pt idx="13">
                  <c:v>866</c:v>
                </c:pt>
                <c:pt idx="14">
                  <c:v>920</c:v>
                </c:pt>
                <c:pt idx="15">
                  <c:v>974</c:v>
                </c:pt>
                <c:pt idx="16" formatCode="#,##0">
                  <c:v>1005</c:v>
                </c:pt>
                <c:pt idx="17" formatCode="#,##0">
                  <c:v>1079</c:v>
                </c:pt>
                <c:pt idx="18" formatCode="#,##0">
                  <c:v>1091</c:v>
                </c:pt>
                <c:pt idx="19" formatCode="#,##0">
                  <c:v>1134</c:v>
                </c:pt>
                <c:pt idx="20" formatCode="#,##0">
                  <c:v>1235</c:v>
                </c:pt>
                <c:pt idx="21" formatCode="#,##0">
                  <c:v>1335</c:v>
                </c:pt>
                <c:pt idx="22" formatCode="#,##0">
                  <c:v>1378</c:v>
                </c:pt>
                <c:pt idx="23" formatCode="#,##0">
                  <c:v>1381</c:v>
                </c:pt>
              </c:numCache>
            </c:numRef>
          </c:val>
          <c:extLst>
            <c:ext xmlns:c16="http://schemas.microsoft.com/office/drawing/2014/chart" uri="{C3380CC4-5D6E-409C-BE32-E72D297353CC}">
              <c16:uniqueId val="{00000078-3948-4D11-B9FE-E7A7DC43B39A}"/>
            </c:ext>
          </c:extLst>
        </c:ser>
        <c:ser>
          <c:idx val="121"/>
          <c:order val="121"/>
          <c:tx>
            <c:strRef>
              <c:f>Expert!$O$133:$R$133</c:f>
              <c:strCache>
                <c:ptCount val="4"/>
                <c:pt idx="0">
                  <c:v>South</c:v>
                </c:pt>
                <c:pt idx="1">
                  <c:v>Transponders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Expert!$S$133:$AP$133</c:f>
              <c:numCache>
                <c:formatCode>General</c:formatCode>
                <c:ptCount val="24"/>
                <c:pt idx="0">
                  <c:v>955</c:v>
                </c:pt>
                <c:pt idx="1">
                  <c:v>990</c:v>
                </c:pt>
                <c:pt idx="2">
                  <c:v>993</c:v>
                </c:pt>
                <c:pt idx="3" formatCode="#,##0">
                  <c:v>1006</c:v>
                </c:pt>
                <c:pt idx="4" formatCode="#,##0">
                  <c:v>1009</c:v>
                </c:pt>
                <c:pt idx="5" formatCode="#,##0">
                  <c:v>1015</c:v>
                </c:pt>
                <c:pt idx="6" formatCode="#,##0">
                  <c:v>1090</c:v>
                </c:pt>
                <c:pt idx="7" formatCode="#,##0">
                  <c:v>1188</c:v>
                </c:pt>
                <c:pt idx="8" formatCode="#,##0">
                  <c:v>1212</c:v>
                </c:pt>
                <c:pt idx="9" formatCode="#,##0">
                  <c:v>1254</c:v>
                </c:pt>
                <c:pt idx="10" formatCode="#,##0">
                  <c:v>1337</c:v>
                </c:pt>
                <c:pt idx="11" formatCode="#,##0">
                  <c:v>1421</c:v>
                </c:pt>
                <c:pt idx="12" formatCode="#,##0">
                  <c:v>1490</c:v>
                </c:pt>
                <c:pt idx="13" formatCode="#,##0">
                  <c:v>1615</c:v>
                </c:pt>
                <c:pt idx="14" formatCode="#,##0">
                  <c:v>1662</c:v>
                </c:pt>
                <c:pt idx="15" formatCode="#,##0">
                  <c:v>1708</c:v>
                </c:pt>
                <c:pt idx="16" formatCode="#,##0">
                  <c:v>1738</c:v>
                </c:pt>
                <c:pt idx="17" formatCode="#,##0">
                  <c:v>1755</c:v>
                </c:pt>
                <c:pt idx="18" formatCode="#,##0">
                  <c:v>1797</c:v>
                </c:pt>
                <c:pt idx="19" formatCode="#,##0">
                  <c:v>1944</c:v>
                </c:pt>
                <c:pt idx="20" formatCode="#,##0">
                  <c:v>1963</c:v>
                </c:pt>
                <c:pt idx="21" formatCode="#,##0">
                  <c:v>2021</c:v>
                </c:pt>
                <c:pt idx="22" formatCode="#,##0">
                  <c:v>2102</c:v>
                </c:pt>
                <c:pt idx="23" formatCode="#,##0">
                  <c:v>2246</c:v>
                </c:pt>
              </c:numCache>
            </c:numRef>
          </c:val>
          <c:extLst>
            <c:ext xmlns:c16="http://schemas.microsoft.com/office/drawing/2014/chart" uri="{C3380CC4-5D6E-409C-BE32-E72D297353CC}">
              <c16:uniqueId val="{00000079-3948-4D11-B9FE-E7A7DC43B39A}"/>
            </c:ext>
          </c:extLst>
        </c:ser>
        <c:ser>
          <c:idx val="122"/>
          <c:order val="122"/>
          <c:tx>
            <c:strRef>
              <c:f>Expert!$O$134:$R$134</c:f>
              <c:strCache>
                <c:ptCount val="4"/>
                <c:pt idx="0">
                  <c:v>South</c:v>
                </c:pt>
                <c:pt idx="1">
                  <c:v>Transponders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Expert!$S$134:$AP$134</c:f>
              <c:numCache>
                <c:formatCode>General</c:formatCode>
                <c:ptCount val="24"/>
                <c:pt idx="0">
                  <c:v>167</c:v>
                </c:pt>
                <c:pt idx="1">
                  <c:v>178</c:v>
                </c:pt>
                <c:pt idx="2">
                  <c:v>189</c:v>
                </c:pt>
                <c:pt idx="3">
                  <c:v>198</c:v>
                </c:pt>
                <c:pt idx="4">
                  <c:v>201</c:v>
                </c:pt>
                <c:pt idx="5">
                  <c:v>203</c:v>
                </c:pt>
                <c:pt idx="6">
                  <c:v>219</c:v>
                </c:pt>
                <c:pt idx="7">
                  <c:v>224</c:v>
                </c:pt>
                <c:pt idx="8">
                  <c:v>236</c:v>
                </c:pt>
                <c:pt idx="9">
                  <c:v>253</c:v>
                </c:pt>
                <c:pt idx="10">
                  <c:v>258</c:v>
                </c:pt>
                <c:pt idx="11">
                  <c:v>282</c:v>
                </c:pt>
                <c:pt idx="12">
                  <c:v>290</c:v>
                </c:pt>
                <c:pt idx="13">
                  <c:v>316</c:v>
                </c:pt>
                <c:pt idx="14">
                  <c:v>336</c:v>
                </c:pt>
                <c:pt idx="15">
                  <c:v>347</c:v>
                </c:pt>
                <c:pt idx="16">
                  <c:v>376</c:v>
                </c:pt>
                <c:pt idx="17">
                  <c:v>410</c:v>
                </c:pt>
                <c:pt idx="18">
                  <c:v>443</c:v>
                </c:pt>
                <c:pt idx="19">
                  <c:v>477</c:v>
                </c:pt>
                <c:pt idx="20">
                  <c:v>507</c:v>
                </c:pt>
                <c:pt idx="21">
                  <c:v>512</c:v>
                </c:pt>
                <c:pt idx="22">
                  <c:v>539</c:v>
                </c:pt>
                <c:pt idx="23">
                  <c:v>568</c:v>
                </c:pt>
              </c:numCache>
            </c:numRef>
          </c:val>
          <c:extLst>
            <c:ext xmlns:c16="http://schemas.microsoft.com/office/drawing/2014/chart" uri="{C3380CC4-5D6E-409C-BE32-E72D297353CC}">
              <c16:uniqueId val="{0000007A-3948-4D11-B9FE-E7A7DC43B39A}"/>
            </c:ext>
          </c:extLst>
        </c:ser>
        <c:ser>
          <c:idx val="123"/>
          <c:order val="123"/>
          <c:tx>
            <c:strRef>
              <c:f>Expert!$O$135:$R$135</c:f>
              <c:strCache>
                <c:ptCount val="4"/>
                <c:pt idx="0">
                  <c:v>South</c:v>
                </c:pt>
                <c:pt idx="1">
                  <c:v>Transponders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Expert!$S$135:$AP$135</c:f>
              <c:numCache>
                <c:formatCode>#,##0</c:formatCode>
                <c:ptCount val="24"/>
                <c:pt idx="0" formatCode="General">
                  <c:v>982</c:v>
                </c:pt>
                <c:pt idx="1">
                  <c:v>1010</c:v>
                </c:pt>
                <c:pt idx="2">
                  <c:v>1063</c:v>
                </c:pt>
                <c:pt idx="3">
                  <c:v>1073</c:v>
                </c:pt>
                <c:pt idx="4">
                  <c:v>1080</c:v>
                </c:pt>
                <c:pt idx="5">
                  <c:v>1159</c:v>
                </c:pt>
                <c:pt idx="6">
                  <c:v>1224</c:v>
                </c:pt>
                <c:pt idx="7">
                  <c:v>1234</c:v>
                </c:pt>
                <c:pt idx="8">
                  <c:v>1267</c:v>
                </c:pt>
                <c:pt idx="9">
                  <c:v>1304</c:v>
                </c:pt>
                <c:pt idx="10">
                  <c:v>1337</c:v>
                </c:pt>
                <c:pt idx="11">
                  <c:v>1374</c:v>
                </c:pt>
                <c:pt idx="12">
                  <c:v>1422</c:v>
                </c:pt>
                <c:pt idx="13">
                  <c:v>1424</c:v>
                </c:pt>
                <c:pt idx="14">
                  <c:v>1455</c:v>
                </c:pt>
                <c:pt idx="15">
                  <c:v>1509</c:v>
                </c:pt>
                <c:pt idx="16">
                  <c:v>1598</c:v>
                </c:pt>
                <c:pt idx="17">
                  <c:v>1680</c:v>
                </c:pt>
                <c:pt idx="18">
                  <c:v>1835</c:v>
                </c:pt>
                <c:pt idx="19">
                  <c:v>1895</c:v>
                </c:pt>
                <c:pt idx="20">
                  <c:v>1978</c:v>
                </c:pt>
                <c:pt idx="21">
                  <c:v>1980</c:v>
                </c:pt>
                <c:pt idx="22">
                  <c:v>2130</c:v>
                </c:pt>
                <c:pt idx="23">
                  <c:v>2204</c:v>
                </c:pt>
              </c:numCache>
            </c:numRef>
          </c:val>
          <c:extLst>
            <c:ext xmlns:c16="http://schemas.microsoft.com/office/drawing/2014/chart" uri="{C3380CC4-5D6E-409C-BE32-E72D297353CC}">
              <c16:uniqueId val="{0000007B-3948-4D11-B9FE-E7A7DC43B39A}"/>
            </c:ext>
          </c:extLst>
        </c:ser>
        <c:ser>
          <c:idx val="124"/>
          <c:order val="124"/>
          <c:tx>
            <c:strRef>
              <c:f>Expert!$O$136:$R$136</c:f>
              <c:strCache>
                <c:ptCount val="4"/>
                <c:pt idx="0">
                  <c:v>South</c:v>
                </c:pt>
                <c:pt idx="1">
                  <c:v>Transponders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Expert!$S$136:$AP$136</c:f>
              <c:numCache>
                <c:formatCode>General</c:formatCode>
                <c:ptCount val="24"/>
                <c:pt idx="0">
                  <c:v>412</c:v>
                </c:pt>
                <c:pt idx="1">
                  <c:v>429</c:v>
                </c:pt>
                <c:pt idx="2">
                  <c:v>431</c:v>
                </c:pt>
                <c:pt idx="3">
                  <c:v>447</c:v>
                </c:pt>
                <c:pt idx="4">
                  <c:v>458</c:v>
                </c:pt>
                <c:pt idx="5">
                  <c:v>496</c:v>
                </c:pt>
                <c:pt idx="6">
                  <c:v>505</c:v>
                </c:pt>
                <c:pt idx="7">
                  <c:v>542</c:v>
                </c:pt>
                <c:pt idx="8">
                  <c:v>576</c:v>
                </c:pt>
                <c:pt idx="9">
                  <c:v>617</c:v>
                </c:pt>
                <c:pt idx="10">
                  <c:v>637</c:v>
                </c:pt>
                <c:pt idx="11">
                  <c:v>644</c:v>
                </c:pt>
                <c:pt idx="12">
                  <c:v>677</c:v>
                </c:pt>
                <c:pt idx="13">
                  <c:v>721</c:v>
                </c:pt>
                <c:pt idx="14">
                  <c:v>787</c:v>
                </c:pt>
                <c:pt idx="15">
                  <c:v>796</c:v>
                </c:pt>
                <c:pt idx="16">
                  <c:v>853</c:v>
                </c:pt>
                <c:pt idx="17">
                  <c:v>903</c:v>
                </c:pt>
                <c:pt idx="18">
                  <c:v>946</c:v>
                </c:pt>
                <c:pt idx="19">
                  <c:v>982</c:v>
                </c:pt>
                <c:pt idx="20" formatCode="#,##0">
                  <c:v>1076</c:v>
                </c:pt>
                <c:pt idx="21" formatCode="#,##0">
                  <c:v>1078</c:v>
                </c:pt>
                <c:pt idx="22" formatCode="#,##0">
                  <c:v>1183</c:v>
                </c:pt>
                <c:pt idx="23" formatCode="#,##0">
                  <c:v>1292</c:v>
                </c:pt>
              </c:numCache>
            </c:numRef>
          </c:val>
          <c:extLst>
            <c:ext xmlns:c16="http://schemas.microsoft.com/office/drawing/2014/chart" uri="{C3380CC4-5D6E-409C-BE32-E72D297353CC}">
              <c16:uniqueId val="{0000007C-3948-4D11-B9FE-E7A7DC43B39A}"/>
            </c:ext>
          </c:extLst>
        </c:ser>
        <c:ser>
          <c:idx val="125"/>
          <c:order val="125"/>
          <c:tx>
            <c:strRef>
              <c:f>Expert!$O$137:$R$137</c:f>
              <c:strCache>
                <c:ptCount val="4"/>
                <c:pt idx="0">
                  <c:v>South</c:v>
                </c:pt>
                <c:pt idx="1">
                  <c:v>Transponders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Expert!$S$137:$AP$137</c:f>
              <c:numCache>
                <c:formatCode>General</c:formatCode>
                <c:ptCount val="24"/>
                <c:pt idx="0">
                  <c:v>869</c:v>
                </c:pt>
                <c:pt idx="1">
                  <c:v>927</c:v>
                </c:pt>
                <c:pt idx="2">
                  <c:v>948</c:v>
                </c:pt>
                <c:pt idx="3">
                  <c:v>983</c:v>
                </c:pt>
                <c:pt idx="4" formatCode="#,##0">
                  <c:v>1010</c:v>
                </c:pt>
                <c:pt idx="5" formatCode="#,##0">
                  <c:v>1029</c:v>
                </c:pt>
                <c:pt idx="6" formatCode="#,##0">
                  <c:v>1050</c:v>
                </c:pt>
                <c:pt idx="7" formatCode="#,##0">
                  <c:v>1147</c:v>
                </c:pt>
                <c:pt idx="8" formatCode="#,##0">
                  <c:v>1231</c:v>
                </c:pt>
                <c:pt idx="9" formatCode="#,##0">
                  <c:v>1266</c:v>
                </c:pt>
                <c:pt idx="10" formatCode="#,##0">
                  <c:v>1359</c:v>
                </c:pt>
                <c:pt idx="11" formatCode="#,##0">
                  <c:v>1448</c:v>
                </c:pt>
                <c:pt idx="12" formatCode="#,##0">
                  <c:v>1492</c:v>
                </c:pt>
                <c:pt idx="13" formatCode="#,##0">
                  <c:v>1529</c:v>
                </c:pt>
                <c:pt idx="14" formatCode="#,##0">
                  <c:v>1671</c:v>
                </c:pt>
                <c:pt idx="15" formatCode="#,##0">
                  <c:v>1766</c:v>
                </c:pt>
                <c:pt idx="16" formatCode="#,##0">
                  <c:v>1803</c:v>
                </c:pt>
                <c:pt idx="17" formatCode="#,##0">
                  <c:v>1813</c:v>
                </c:pt>
                <c:pt idx="18" formatCode="#,##0">
                  <c:v>1836</c:v>
                </c:pt>
                <c:pt idx="19" formatCode="#,##0">
                  <c:v>1901</c:v>
                </c:pt>
                <c:pt idx="20" formatCode="#,##0">
                  <c:v>2010</c:v>
                </c:pt>
                <c:pt idx="21" formatCode="#,##0">
                  <c:v>2095</c:v>
                </c:pt>
                <c:pt idx="22" formatCode="#,##0">
                  <c:v>2286</c:v>
                </c:pt>
                <c:pt idx="23" formatCode="#,##0">
                  <c:v>2332</c:v>
                </c:pt>
              </c:numCache>
            </c:numRef>
          </c:val>
          <c:extLst>
            <c:ext xmlns:c16="http://schemas.microsoft.com/office/drawing/2014/chart" uri="{C3380CC4-5D6E-409C-BE32-E72D297353CC}">
              <c16:uniqueId val="{0000007D-3948-4D11-B9FE-E7A7DC43B39A}"/>
            </c:ext>
          </c:extLst>
        </c:ser>
        <c:ser>
          <c:idx val="126"/>
          <c:order val="126"/>
          <c:tx>
            <c:strRef>
              <c:f>Expert!$O$138:$R$138</c:f>
              <c:strCache>
                <c:ptCount val="4"/>
                <c:pt idx="0">
                  <c:v>South</c:v>
                </c:pt>
                <c:pt idx="1">
                  <c:v>Transponders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Expert!$S$138:$AP$138</c:f>
              <c:numCache>
                <c:formatCode>General</c:formatCode>
                <c:ptCount val="24"/>
                <c:pt idx="0">
                  <c:v>414</c:v>
                </c:pt>
                <c:pt idx="1">
                  <c:v>454</c:v>
                </c:pt>
                <c:pt idx="2">
                  <c:v>467</c:v>
                </c:pt>
                <c:pt idx="3">
                  <c:v>504</c:v>
                </c:pt>
                <c:pt idx="4">
                  <c:v>539</c:v>
                </c:pt>
                <c:pt idx="5">
                  <c:v>543</c:v>
                </c:pt>
                <c:pt idx="6">
                  <c:v>549</c:v>
                </c:pt>
                <c:pt idx="7">
                  <c:v>578</c:v>
                </c:pt>
                <c:pt idx="8">
                  <c:v>590</c:v>
                </c:pt>
                <c:pt idx="9">
                  <c:v>597</c:v>
                </c:pt>
                <c:pt idx="10">
                  <c:v>645</c:v>
                </c:pt>
                <c:pt idx="11">
                  <c:v>709</c:v>
                </c:pt>
                <c:pt idx="12">
                  <c:v>757</c:v>
                </c:pt>
                <c:pt idx="13">
                  <c:v>831</c:v>
                </c:pt>
                <c:pt idx="14">
                  <c:v>906</c:v>
                </c:pt>
                <c:pt idx="15">
                  <c:v>977</c:v>
                </c:pt>
                <c:pt idx="16" formatCode="#,##0">
                  <c:v>1004</c:v>
                </c:pt>
                <c:pt idx="17" formatCode="#,##0">
                  <c:v>1061</c:v>
                </c:pt>
                <c:pt idx="18" formatCode="#,##0">
                  <c:v>1140</c:v>
                </c:pt>
                <c:pt idx="19" formatCode="#,##0">
                  <c:v>1181</c:v>
                </c:pt>
                <c:pt idx="20" formatCode="#,##0">
                  <c:v>1198</c:v>
                </c:pt>
                <c:pt idx="21" formatCode="#,##0">
                  <c:v>1287</c:v>
                </c:pt>
                <c:pt idx="22" formatCode="#,##0">
                  <c:v>1331</c:v>
                </c:pt>
                <c:pt idx="23" formatCode="#,##0">
                  <c:v>1453</c:v>
                </c:pt>
              </c:numCache>
            </c:numRef>
          </c:val>
          <c:extLst>
            <c:ext xmlns:c16="http://schemas.microsoft.com/office/drawing/2014/chart" uri="{C3380CC4-5D6E-409C-BE32-E72D297353CC}">
              <c16:uniqueId val="{0000007E-3948-4D11-B9FE-E7A7DC43B39A}"/>
            </c:ext>
          </c:extLst>
        </c:ser>
        <c:ser>
          <c:idx val="127"/>
          <c:order val="127"/>
          <c:tx>
            <c:strRef>
              <c:f>Expert!$O$139:$R$139</c:f>
              <c:strCache>
                <c:ptCount val="4"/>
                <c:pt idx="0">
                  <c:v>South</c:v>
                </c:pt>
                <c:pt idx="1">
                  <c:v>Transponders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Expert!$S$139:$AP$139</c:f>
              <c:numCache>
                <c:formatCode>General</c:formatCode>
                <c:ptCount val="24"/>
                <c:pt idx="0">
                  <c:v>984</c:v>
                </c:pt>
                <c:pt idx="1">
                  <c:v>993</c:v>
                </c:pt>
                <c:pt idx="2" formatCode="#,##0">
                  <c:v>1005</c:v>
                </c:pt>
                <c:pt idx="3" formatCode="#,##0">
                  <c:v>1095</c:v>
                </c:pt>
                <c:pt idx="4" formatCode="#,##0">
                  <c:v>1191</c:v>
                </c:pt>
                <c:pt idx="5" formatCode="#,##0">
                  <c:v>1223</c:v>
                </c:pt>
                <c:pt idx="6" formatCode="#,##0">
                  <c:v>1332</c:v>
                </c:pt>
                <c:pt idx="7" formatCode="#,##0">
                  <c:v>1432</c:v>
                </c:pt>
                <c:pt idx="8" formatCode="#,##0">
                  <c:v>1450</c:v>
                </c:pt>
                <c:pt idx="9" formatCode="#,##0">
                  <c:v>1507</c:v>
                </c:pt>
                <c:pt idx="10" formatCode="#,##0">
                  <c:v>1652</c:v>
                </c:pt>
                <c:pt idx="11" formatCode="#,##0">
                  <c:v>1696</c:v>
                </c:pt>
                <c:pt idx="12" formatCode="#,##0">
                  <c:v>1757</c:v>
                </c:pt>
                <c:pt idx="13" formatCode="#,##0">
                  <c:v>1797</c:v>
                </c:pt>
                <c:pt idx="14" formatCode="#,##0">
                  <c:v>1844</c:v>
                </c:pt>
                <c:pt idx="15" formatCode="#,##0">
                  <c:v>1857</c:v>
                </c:pt>
                <c:pt idx="16" formatCode="#,##0">
                  <c:v>2014</c:v>
                </c:pt>
                <c:pt idx="17" formatCode="#,##0">
                  <c:v>2167</c:v>
                </c:pt>
                <c:pt idx="18" formatCode="#,##0">
                  <c:v>2345</c:v>
                </c:pt>
                <c:pt idx="19" formatCode="#,##0">
                  <c:v>2458</c:v>
                </c:pt>
                <c:pt idx="20" formatCode="#,##0">
                  <c:v>2681</c:v>
                </c:pt>
                <c:pt idx="21" formatCode="#,##0">
                  <c:v>2922</c:v>
                </c:pt>
                <c:pt idx="22" formatCode="#,##0">
                  <c:v>2967</c:v>
                </c:pt>
                <c:pt idx="23" formatCode="#,##0">
                  <c:v>3206</c:v>
                </c:pt>
              </c:numCache>
            </c:numRef>
          </c:val>
          <c:extLst>
            <c:ext xmlns:c16="http://schemas.microsoft.com/office/drawing/2014/chart" uri="{C3380CC4-5D6E-409C-BE32-E72D297353CC}">
              <c16:uniqueId val="{0000007F-3948-4D11-B9FE-E7A7DC43B39A}"/>
            </c:ext>
          </c:extLst>
        </c:ser>
        <c:ser>
          <c:idx val="128"/>
          <c:order val="128"/>
          <c:tx>
            <c:strRef>
              <c:f>Expert!$O$140:$R$140</c:f>
              <c:strCache>
                <c:ptCount val="4"/>
                <c:pt idx="0">
                  <c:v>South</c:v>
                </c:pt>
                <c:pt idx="1">
                  <c:v>Transponders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Expert!$S$140:$AP$140</c:f>
              <c:numCache>
                <c:formatCode>General</c:formatCode>
                <c:ptCount val="24"/>
                <c:pt idx="0">
                  <c:v>666</c:v>
                </c:pt>
                <c:pt idx="1">
                  <c:v>691</c:v>
                </c:pt>
                <c:pt idx="2">
                  <c:v>746</c:v>
                </c:pt>
                <c:pt idx="3">
                  <c:v>807</c:v>
                </c:pt>
                <c:pt idx="4">
                  <c:v>874</c:v>
                </c:pt>
                <c:pt idx="5">
                  <c:v>887</c:v>
                </c:pt>
                <c:pt idx="6">
                  <c:v>910</c:v>
                </c:pt>
                <c:pt idx="7">
                  <c:v>925</c:v>
                </c:pt>
                <c:pt idx="8">
                  <c:v>998</c:v>
                </c:pt>
                <c:pt idx="9" formatCode="#,##0">
                  <c:v>1040</c:v>
                </c:pt>
                <c:pt idx="10" formatCode="#,##0">
                  <c:v>1043</c:v>
                </c:pt>
                <c:pt idx="11" formatCode="#,##0">
                  <c:v>1080</c:v>
                </c:pt>
                <c:pt idx="12" formatCode="#,##0">
                  <c:v>1128</c:v>
                </c:pt>
                <c:pt idx="13" formatCode="#,##0">
                  <c:v>1164</c:v>
                </c:pt>
                <c:pt idx="14" formatCode="#,##0">
                  <c:v>1224</c:v>
                </c:pt>
                <c:pt idx="15" formatCode="#,##0">
                  <c:v>1304</c:v>
                </c:pt>
                <c:pt idx="16" formatCode="#,##0">
                  <c:v>1405</c:v>
                </c:pt>
                <c:pt idx="17" formatCode="#,##0">
                  <c:v>1495</c:v>
                </c:pt>
                <c:pt idx="18" formatCode="#,##0">
                  <c:v>1592</c:v>
                </c:pt>
                <c:pt idx="19" formatCode="#,##0">
                  <c:v>1737</c:v>
                </c:pt>
                <c:pt idx="20" formatCode="#,##0">
                  <c:v>1777</c:v>
                </c:pt>
                <c:pt idx="21" formatCode="#,##0">
                  <c:v>1846</c:v>
                </c:pt>
                <c:pt idx="22" formatCode="#,##0">
                  <c:v>1871</c:v>
                </c:pt>
                <c:pt idx="23" formatCode="#,##0">
                  <c:v>1937</c:v>
                </c:pt>
              </c:numCache>
            </c:numRef>
          </c:val>
          <c:extLst>
            <c:ext xmlns:c16="http://schemas.microsoft.com/office/drawing/2014/chart" uri="{C3380CC4-5D6E-409C-BE32-E72D297353CC}">
              <c16:uniqueId val="{00000080-3948-4D11-B9FE-E7A7DC43B39A}"/>
            </c:ext>
          </c:extLst>
        </c:ser>
        <c:ser>
          <c:idx val="129"/>
          <c:order val="129"/>
          <c:tx>
            <c:strRef>
              <c:f>Expert!$O$141:$R$141</c:f>
              <c:strCache>
                <c:ptCount val="4"/>
                <c:pt idx="0">
                  <c:v>South</c:v>
                </c:pt>
                <c:pt idx="1">
                  <c:v>Transponders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Expert!$S$141:$AP$141</c:f>
              <c:numCache>
                <c:formatCode>General</c:formatCode>
                <c:ptCount val="24"/>
                <c:pt idx="0">
                  <c:v>313</c:v>
                </c:pt>
                <c:pt idx="1">
                  <c:v>325</c:v>
                </c:pt>
                <c:pt idx="2">
                  <c:v>357</c:v>
                </c:pt>
                <c:pt idx="3">
                  <c:v>366</c:v>
                </c:pt>
                <c:pt idx="4">
                  <c:v>369</c:v>
                </c:pt>
                <c:pt idx="5">
                  <c:v>399</c:v>
                </c:pt>
                <c:pt idx="6">
                  <c:v>413</c:v>
                </c:pt>
                <c:pt idx="7">
                  <c:v>452</c:v>
                </c:pt>
                <c:pt idx="8">
                  <c:v>474</c:v>
                </c:pt>
                <c:pt idx="9">
                  <c:v>483</c:v>
                </c:pt>
                <c:pt idx="10">
                  <c:v>500</c:v>
                </c:pt>
                <c:pt idx="11">
                  <c:v>535</c:v>
                </c:pt>
                <c:pt idx="12">
                  <c:v>551</c:v>
                </c:pt>
                <c:pt idx="13">
                  <c:v>579</c:v>
                </c:pt>
                <c:pt idx="14">
                  <c:v>612</c:v>
                </c:pt>
                <c:pt idx="15">
                  <c:v>671</c:v>
                </c:pt>
                <c:pt idx="16">
                  <c:v>686</c:v>
                </c:pt>
                <c:pt idx="17">
                  <c:v>715</c:v>
                </c:pt>
                <c:pt idx="18">
                  <c:v>744</c:v>
                </c:pt>
                <c:pt idx="19">
                  <c:v>777</c:v>
                </c:pt>
                <c:pt idx="20">
                  <c:v>806</c:v>
                </c:pt>
                <c:pt idx="21">
                  <c:v>845</c:v>
                </c:pt>
                <c:pt idx="22">
                  <c:v>860</c:v>
                </c:pt>
                <c:pt idx="23">
                  <c:v>944</c:v>
                </c:pt>
              </c:numCache>
            </c:numRef>
          </c:val>
          <c:extLst>
            <c:ext xmlns:c16="http://schemas.microsoft.com/office/drawing/2014/chart" uri="{C3380CC4-5D6E-409C-BE32-E72D297353CC}">
              <c16:uniqueId val="{00000081-3948-4D11-B9FE-E7A7DC43B39A}"/>
            </c:ext>
          </c:extLst>
        </c:ser>
        <c:ser>
          <c:idx val="130"/>
          <c:order val="130"/>
          <c:tx>
            <c:strRef>
              <c:f>Expert!$O$142:$R$142</c:f>
              <c:strCache>
                <c:ptCount val="4"/>
                <c:pt idx="0">
                  <c:v>South</c:v>
                </c:pt>
                <c:pt idx="1">
                  <c:v>Transponders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Expert!$S$142:$AP$142</c:f>
              <c:numCache>
                <c:formatCode>General</c:formatCode>
                <c:ptCount val="24"/>
                <c:pt idx="0">
                  <c:v>772</c:v>
                </c:pt>
                <c:pt idx="1">
                  <c:v>819</c:v>
                </c:pt>
                <c:pt idx="2">
                  <c:v>823</c:v>
                </c:pt>
                <c:pt idx="3">
                  <c:v>865</c:v>
                </c:pt>
                <c:pt idx="4">
                  <c:v>935</c:v>
                </c:pt>
                <c:pt idx="5">
                  <c:v>988</c:v>
                </c:pt>
                <c:pt idx="6" formatCode="#,##0">
                  <c:v>1021</c:v>
                </c:pt>
                <c:pt idx="7" formatCode="#,##0">
                  <c:v>1077</c:v>
                </c:pt>
                <c:pt idx="8" formatCode="#,##0">
                  <c:v>1169</c:v>
                </c:pt>
                <c:pt idx="9" formatCode="#,##0">
                  <c:v>1243</c:v>
                </c:pt>
                <c:pt idx="10" formatCode="#,##0">
                  <c:v>1328</c:v>
                </c:pt>
                <c:pt idx="11" formatCode="#,##0">
                  <c:v>1449</c:v>
                </c:pt>
                <c:pt idx="12" formatCode="#,##0">
                  <c:v>1591</c:v>
                </c:pt>
                <c:pt idx="13" formatCode="#,##0">
                  <c:v>1726</c:v>
                </c:pt>
                <c:pt idx="14" formatCode="#,##0">
                  <c:v>1738</c:v>
                </c:pt>
                <c:pt idx="15" formatCode="#,##0">
                  <c:v>1746</c:v>
                </c:pt>
                <c:pt idx="16" formatCode="#,##0">
                  <c:v>1835</c:v>
                </c:pt>
                <c:pt idx="17" formatCode="#,##0">
                  <c:v>1931</c:v>
                </c:pt>
                <c:pt idx="18" formatCode="#,##0">
                  <c:v>1936</c:v>
                </c:pt>
                <c:pt idx="19" formatCode="#,##0">
                  <c:v>2040</c:v>
                </c:pt>
                <c:pt idx="20" formatCode="#,##0">
                  <c:v>2100</c:v>
                </c:pt>
                <c:pt idx="21" formatCode="#,##0">
                  <c:v>2292</c:v>
                </c:pt>
                <c:pt idx="22" formatCode="#,##0">
                  <c:v>2317</c:v>
                </c:pt>
                <c:pt idx="23" formatCode="#,##0">
                  <c:v>2447</c:v>
                </c:pt>
              </c:numCache>
            </c:numRef>
          </c:val>
          <c:extLst>
            <c:ext xmlns:c16="http://schemas.microsoft.com/office/drawing/2014/chart" uri="{C3380CC4-5D6E-409C-BE32-E72D297353CC}">
              <c16:uniqueId val="{00000082-3948-4D11-B9FE-E7A7DC43B39A}"/>
            </c:ext>
          </c:extLst>
        </c:ser>
        <c:ser>
          <c:idx val="131"/>
          <c:order val="131"/>
          <c:tx>
            <c:strRef>
              <c:f>Expert!$O$143:$R$143</c:f>
              <c:strCache>
                <c:ptCount val="4"/>
                <c:pt idx="0">
                  <c:v>South</c:v>
                </c:pt>
                <c:pt idx="1">
                  <c:v>Transponders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Expert!$S$143:$AP$143</c:f>
              <c:numCache>
                <c:formatCode>General</c:formatCode>
                <c:ptCount val="24"/>
                <c:pt idx="0">
                  <c:v>937</c:v>
                </c:pt>
                <c:pt idx="1">
                  <c:v>984</c:v>
                </c:pt>
                <c:pt idx="2" formatCode="#,##0">
                  <c:v>1015</c:v>
                </c:pt>
                <c:pt idx="3" formatCode="#,##0">
                  <c:v>1101</c:v>
                </c:pt>
                <c:pt idx="4" formatCode="#,##0">
                  <c:v>1175</c:v>
                </c:pt>
                <c:pt idx="5" formatCode="#,##0">
                  <c:v>1269</c:v>
                </c:pt>
                <c:pt idx="6" formatCode="#,##0">
                  <c:v>1327</c:v>
                </c:pt>
                <c:pt idx="7" formatCode="#,##0">
                  <c:v>1360</c:v>
                </c:pt>
                <c:pt idx="8" formatCode="#,##0">
                  <c:v>1435</c:v>
                </c:pt>
                <c:pt idx="9" formatCode="#,##0">
                  <c:v>1567</c:v>
                </c:pt>
                <c:pt idx="10" formatCode="#,##0">
                  <c:v>1583</c:v>
                </c:pt>
                <c:pt idx="11" formatCode="#,##0">
                  <c:v>1603</c:v>
                </c:pt>
                <c:pt idx="12" formatCode="#,##0">
                  <c:v>1677</c:v>
                </c:pt>
                <c:pt idx="13" formatCode="#,##0">
                  <c:v>1842</c:v>
                </c:pt>
                <c:pt idx="14" formatCode="#,##0">
                  <c:v>2009</c:v>
                </c:pt>
                <c:pt idx="15" formatCode="#,##0">
                  <c:v>2118</c:v>
                </c:pt>
                <c:pt idx="16" formatCode="#,##0">
                  <c:v>2213</c:v>
                </c:pt>
                <c:pt idx="17" formatCode="#,##0">
                  <c:v>2217</c:v>
                </c:pt>
                <c:pt idx="18" formatCode="#,##0">
                  <c:v>2294</c:v>
                </c:pt>
                <c:pt idx="19" formatCode="#,##0">
                  <c:v>2379</c:v>
                </c:pt>
                <c:pt idx="20" formatCode="#,##0">
                  <c:v>2475</c:v>
                </c:pt>
                <c:pt idx="21" formatCode="#,##0">
                  <c:v>2477</c:v>
                </c:pt>
                <c:pt idx="22" formatCode="#,##0">
                  <c:v>2577</c:v>
                </c:pt>
                <c:pt idx="23" formatCode="#,##0">
                  <c:v>2708</c:v>
                </c:pt>
              </c:numCache>
            </c:numRef>
          </c:val>
          <c:extLst>
            <c:ext xmlns:c16="http://schemas.microsoft.com/office/drawing/2014/chart" uri="{C3380CC4-5D6E-409C-BE32-E72D297353CC}">
              <c16:uniqueId val="{00000083-3948-4D11-B9FE-E7A7DC43B39A}"/>
            </c:ext>
          </c:extLst>
        </c:ser>
        <c:ser>
          <c:idx val="132"/>
          <c:order val="132"/>
          <c:tx>
            <c:strRef>
              <c:f>Expert!$O$144:$R$144</c:f>
              <c:strCache>
                <c:ptCount val="4"/>
                <c:pt idx="0">
                  <c:v>South</c:v>
                </c:pt>
                <c:pt idx="1">
                  <c:v>Glue Guns</c:v>
                </c:pt>
                <c:pt idx="2">
                  <c:v>Enterprise</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Expert!$S$144:$AP$144</c:f>
              <c:numCache>
                <c:formatCode>#,##0</c:formatCode>
                <c:ptCount val="24"/>
                <c:pt idx="0" formatCode="General">
                  <c:v>992</c:v>
                </c:pt>
                <c:pt idx="1">
                  <c:v>1090</c:v>
                </c:pt>
                <c:pt idx="2">
                  <c:v>1095</c:v>
                </c:pt>
                <c:pt idx="3">
                  <c:v>1197</c:v>
                </c:pt>
                <c:pt idx="4">
                  <c:v>1309</c:v>
                </c:pt>
                <c:pt idx="5">
                  <c:v>1352</c:v>
                </c:pt>
                <c:pt idx="6">
                  <c:v>1373</c:v>
                </c:pt>
                <c:pt idx="7">
                  <c:v>1419</c:v>
                </c:pt>
                <c:pt idx="8">
                  <c:v>1441</c:v>
                </c:pt>
                <c:pt idx="9">
                  <c:v>1571</c:v>
                </c:pt>
                <c:pt idx="10">
                  <c:v>1634</c:v>
                </c:pt>
                <c:pt idx="11">
                  <c:v>1649</c:v>
                </c:pt>
                <c:pt idx="12">
                  <c:v>1772</c:v>
                </c:pt>
                <c:pt idx="13">
                  <c:v>1807</c:v>
                </c:pt>
                <c:pt idx="14">
                  <c:v>1827</c:v>
                </c:pt>
                <c:pt idx="15">
                  <c:v>1850</c:v>
                </c:pt>
                <c:pt idx="16">
                  <c:v>2010</c:v>
                </c:pt>
                <c:pt idx="17">
                  <c:v>2143</c:v>
                </c:pt>
                <c:pt idx="18">
                  <c:v>2311</c:v>
                </c:pt>
                <c:pt idx="19">
                  <c:v>2371</c:v>
                </c:pt>
                <c:pt idx="20">
                  <c:v>2523</c:v>
                </c:pt>
                <c:pt idx="21">
                  <c:v>2677</c:v>
                </c:pt>
                <c:pt idx="22">
                  <c:v>2763</c:v>
                </c:pt>
                <c:pt idx="23">
                  <c:v>2992</c:v>
                </c:pt>
              </c:numCache>
            </c:numRef>
          </c:val>
          <c:extLst>
            <c:ext xmlns:c16="http://schemas.microsoft.com/office/drawing/2014/chart" uri="{C3380CC4-5D6E-409C-BE32-E72D297353CC}">
              <c16:uniqueId val="{00000084-3948-4D11-B9FE-E7A7DC43B39A}"/>
            </c:ext>
          </c:extLst>
        </c:ser>
        <c:ser>
          <c:idx val="133"/>
          <c:order val="133"/>
          <c:tx>
            <c:strRef>
              <c:f>Expert!$O$145:$R$145</c:f>
              <c:strCache>
                <c:ptCount val="4"/>
                <c:pt idx="0">
                  <c:v>South</c:v>
                </c:pt>
                <c:pt idx="1">
                  <c:v>Glue Guns</c:v>
                </c:pt>
                <c:pt idx="2">
                  <c:v>Enterprise</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Expert!$S$145:$AP$145</c:f>
              <c:numCache>
                <c:formatCode>#,##0</c:formatCode>
                <c:ptCount val="24"/>
                <c:pt idx="0" formatCode="General">
                  <c:v>956</c:v>
                </c:pt>
                <c:pt idx="1">
                  <c:v>1007</c:v>
                </c:pt>
                <c:pt idx="2">
                  <c:v>1055</c:v>
                </c:pt>
                <c:pt idx="3">
                  <c:v>1091</c:v>
                </c:pt>
                <c:pt idx="4">
                  <c:v>1129</c:v>
                </c:pt>
                <c:pt idx="5">
                  <c:v>1239</c:v>
                </c:pt>
                <c:pt idx="6">
                  <c:v>1335</c:v>
                </c:pt>
                <c:pt idx="7">
                  <c:v>1402</c:v>
                </c:pt>
                <c:pt idx="8">
                  <c:v>1503</c:v>
                </c:pt>
                <c:pt idx="9">
                  <c:v>1623</c:v>
                </c:pt>
                <c:pt idx="10">
                  <c:v>1772</c:v>
                </c:pt>
                <c:pt idx="11">
                  <c:v>1815</c:v>
                </c:pt>
                <c:pt idx="12">
                  <c:v>1826</c:v>
                </c:pt>
                <c:pt idx="13">
                  <c:v>1944</c:v>
                </c:pt>
                <c:pt idx="14">
                  <c:v>2054</c:v>
                </c:pt>
                <c:pt idx="15">
                  <c:v>2134</c:v>
                </c:pt>
                <c:pt idx="16">
                  <c:v>2251</c:v>
                </c:pt>
                <c:pt idx="17">
                  <c:v>2422</c:v>
                </c:pt>
                <c:pt idx="18">
                  <c:v>2464</c:v>
                </c:pt>
                <c:pt idx="19">
                  <c:v>2477</c:v>
                </c:pt>
                <c:pt idx="20">
                  <c:v>2643</c:v>
                </c:pt>
                <c:pt idx="21">
                  <c:v>2756</c:v>
                </c:pt>
                <c:pt idx="22">
                  <c:v>2775</c:v>
                </c:pt>
                <c:pt idx="23">
                  <c:v>2922</c:v>
                </c:pt>
              </c:numCache>
            </c:numRef>
          </c:val>
          <c:extLst>
            <c:ext xmlns:c16="http://schemas.microsoft.com/office/drawing/2014/chart" uri="{C3380CC4-5D6E-409C-BE32-E72D297353CC}">
              <c16:uniqueId val="{00000085-3948-4D11-B9FE-E7A7DC43B39A}"/>
            </c:ext>
          </c:extLst>
        </c:ser>
        <c:ser>
          <c:idx val="134"/>
          <c:order val="134"/>
          <c:tx>
            <c:strRef>
              <c:f>Expert!$O$146:$R$146</c:f>
              <c:strCache>
                <c:ptCount val="4"/>
                <c:pt idx="0">
                  <c:v>South</c:v>
                </c:pt>
                <c:pt idx="1">
                  <c:v>Glue Guns</c:v>
                </c:pt>
                <c:pt idx="2">
                  <c:v>Enterprise</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Expert!$S$146:$AP$146</c:f>
              <c:numCache>
                <c:formatCode>#,##0</c:formatCode>
                <c:ptCount val="24"/>
                <c:pt idx="0" formatCode="General">
                  <c:v>944</c:v>
                </c:pt>
                <c:pt idx="1">
                  <c:v>1021</c:v>
                </c:pt>
                <c:pt idx="2">
                  <c:v>1087</c:v>
                </c:pt>
                <c:pt idx="3">
                  <c:v>1169</c:v>
                </c:pt>
                <c:pt idx="4">
                  <c:v>1258</c:v>
                </c:pt>
                <c:pt idx="5">
                  <c:v>1302</c:v>
                </c:pt>
                <c:pt idx="6">
                  <c:v>1348</c:v>
                </c:pt>
                <c:pt idx="7">
                  <c:v>1387</c:v>
                </c:pt>
                <c:pt idx="8">
                  <c:v>1462</c:v>
                </c:pt>
                <c:pt idx="9">
                  <c:v>1579</c:v>
                </c:pt>
                <c:pt idx="10">
                  <c:v>1674</c:v>
                </c:pt>
                <c:pt idx="11">
                  <c:v>1744</c:v>
                </c:pt>
                <c:pt idx="12">
                  <c:v>1800</c:v>
                </c:pt>
                <c:pt idx="13">
                  <c:v>1902</c:v>
                </c:pt>
                <c:pt idx="14">
                  <c:v>2046</c:v>
                </c:pt>
                <c:pt idx="15">
                  <c:v>2217</c:v>
                </c:pt>
                <c:pt idx="16">
                  <c:v>2385</c:v>
                </c:pt>
                <c:pt idx="17">
                  <c:v>2425</c:v>
                </c:pt>
                <c:pt idx="18">
                  <c:v>2520</c:v>
                </c:pt>
                <c:pt idx="19">
                  <c:v>2663</c:v>
                </c:pt>
                <c:pt idx="20">
                  <c:v>2741</c:v>
                </c:pt>
                <c:pt idx="21">
                  <c:v>3015</c:v>
                </c:pt>
                <c:pt idx="22">
                  <c:v>3309</c:v>
                </c:pt>
                <c:pt idx="23">
                  <c:v>3572</c:v>
                </c:pt>
              </c:numCache>
            </c:numRef>
          </c:val>
          <c:extLst>
            <c:ext xmlns:c16="http://schemas.microsoft.com/office/drawing/2014/chart" uri="{C3380CC4-5D6E-409C-BE32-E72D297353CC}">
              <c16:uniqueId val="{00000086-3948-4D11-B9FE-E7A7DC43B39A}"/>
            </c:ext>
          </c:extLst>
        </c:ser>
        <c:ser>
          <c:idx val="135"/>
          <c:order val="135"/>
          <c:tx>
            <c:strRef>
              <c:f>Expert!$O$147:$R$147</c:f>
              <c:strCache>
                <c:ptCount val="4"/>
                <c:pt idx="0">
                  <c:v>South</c:v>
                </c:pt>
                <c:pt idx="1">
                  <c:v>Glue Guns</c:v>
                </c:pt>
                <c:pt idx="2">
                  <c:v>Enterprise</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Expert!$S$147:$AP$147</c:f>
              <c:numCache>
                <c:formatCode>General</c:formatCode>
                <c:ptCount val="24"/>
                <c:pt idx="0">
                  <c:v>44</c:v>
                </c:pt>
                <c:pt idx="1">
                  <c:v>44</c:v>
                </c:pt>
                <c:pt idx="2">
                  <c:v>45</c:v>
                </c:pt>
                <c:pt idx="3">
                  <c:v>47</c:v>
                </c:pt>
                <c:pt idx="4">
                  <c:v>47</c:v>
                </c:pt>
                <c:pt idx="5">
                  <c:v>48</c:v>
                </c:pt>
                <c:pt idx="6">
                  <c:v>49</c:v>
                </c:pt>
                <c:pt idx="7">
                  <c:v>54</c:v>
                </c:pt>
                <c:pt idx="8">
                  <c:v>55</c:v>
                </c:pt>
                <c:pt idx="9">
                  <c:v>56</c:v>
                </c:pt>
                <c:pt idx="10">
                  <c:v>60</c:v>
                </c:pt>
                <c:pt idx="11">
                  <c:v>66</c:v>
                </c:pt>
                <c:pt idx="12">
                  <c:v>71</c:v>
                </c:pt>
                <c:pt idx="13">
                  <c:v>76</c:v>
                </c:pt>
                <c:pt idx="14">
                  <c:v>77</c:v>
                </c:pt>
                <c:pt idx="15">
                  <c:v>82</c:v>
                </c:pt>
                <c:pt idx="16">
                  <c:v>88</c:v>
                </c:pt>
                <c:pt idx="17">
                  <c:v>94</c:v>
                </c:pt>
                <c:pt idx="18">
                  <c:v>102</c:v>
                </c:pt>
                <c:pt idx="19">
                  <c:v>107</c:v>
                </c:pt>
                <c:pt idx="20">
                  <c:v>110</c:v>
                </c:pt>
                <c:pt idx="21">
                  <c:v>119</c:v>
                </c:pt>
                <c:pt idx="22">
                  <c:v>122</c:v>
                </c:pt>
                <c:pt idx="23">
                  <c:v>132</c:v>
                </c:pt>
              </c:numCache>
            </c:numRef>
          </c:val>
          <c:extLst>
            <c:ext xmlns:c16="http://schemas.microsoft.com/office/drawing/2014/chart" uri="{C3380CC4-5D6E-409C-BE32-E72D297353CC}">
              <c16:uniqueId val="{00000087-3948-4D11-B9FE-E7A7DC43B39A}"/>
            </c:ext>
          </c:extLst>
        </c:ser>
        <c:ser>
          <c:idx val="136"/>
          <c:order val="136"/>
          <c:tx>
            <c:strRef>
              <c:f>Expert!$O$148:$R$148</c:f>
              <c:strCache>
                <c:ptCount val="4"/>
                <c:pt idx="0">
                  <c:v>South</c:v>
                </c:pt>
                <c:pt idx="1">
                  <c:v>Glue Guns</c:v>
                </c:pt>
                <c:pt idx="2">
                  <c:v>Galaxy</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Expert!$S$148:$AP$148</c:f>
              <c:numCache>
                <c:formatCode>General</c:formatCode>
                <c:ptCount val="24"/>
                <c:pt idx="0">
                  <c:v>926</c:v>
                </c:pt>
                <c:pt idx="1">
                  <c:v>992</c:v>
                </c:pt>
                <c:pt idx="2" formatCode="#,##0">
                  <c:v>1077</c:v>
                </c:pt>
                <c:pt idx="3" formatCode="#,##0">
                  <c:v>1100</c:v>
                </c:pt>
                <c:pt idx="4" formatCode="#,##0">
                  <c:v>1149</c:v>
                </c:pt>
                <c:pt idx="5" formatCode="#,##0">
                  <c:v>1260</c:v>
                </c:pt>
                <c:pt idx="6" formatCode="#,##0">
                  <c:v>1309</c:v>
                </c:pt>
                <c:pt idx="7" formatCode="#,##0">
                  <c:v>1431</c:v>
                </c:pt>
                <c:pt idx="8" formatCode="#,##0">
                  <c:v>1471</c:v>
                </c:pt>
                <c:pt idx="9" formatCode="#,##0">
                  <c:v>1543</c:v>
                </c:pt>
                <c:pt idx="10" formatCode="#,##0">
                  <c:v>1607</c:v>
                </c:pt>
                <c:pt idx="11" formatCode="#,##0">
                  <c:v>1663</c:v>
                </c:pt>
                <c:pt idx="12" formatCode="#,##0">
                  <c:v>1810</c:v>
                </c:pt>
                <c:pt idx="13" formatCode="#,##0">
                  <c:v>1843</c:v>
                </c:pt>
                <c:pt idx="14" formatCode="#,##0">
                  <c:v>1988</c:v>
                </c:pt>
                <c:pt idx="15" formatCode="#,##0">
                  <c:v>2108</c:v>
                </c:pt>
                <c:pt idx="16" formatCode="#,##0">
                  <c:v>2162</c:v>
                </c:pt>
                <c:pt idx="17" formatCode="#,##0">
                  <c:v>2231</c:v>
                </c:pt>
                <c:pt idx="18" formatCode="#,##0">
                  <c:v>2360</c:v>
                </c:pt>
                <c:pt idx="19" formatCode="#,##0">
                  <c:v>2556</c:v>
                </c:pt>
                <c:pt idx="20" formatCode="#,##0">
                  <c:v>2578</c:v>
                </c:pt>
                <c:pt idx="21" formatCode="#,##0">
                  <c:v>2661</c:v>
                </c:pt>
                <c:pt idx="22" formatCode="#,##0">
                  <c:v>2880</c:v>
                </c:pt>
                <c:pt idx="23" formatCode="#,##0">
                  <c:v>2964</c:v>
                </c:pt>
              </c:numCache>
            </c:numRef>
          </c:val>
          <c:extLst>
            <c:ext xmlns:c16="http://schemas.microsoft.com/office/drawing/2014/chart" uri="{C3380CC4-5D6E-409C-BE32-E72D297353CC}">
              <c16:uniqueId val="{00000088-3948-4D11-B9FE-E7A7DC43B39A}"/>
            </c:ext>
          </c:extLst>
        </c:ser>
        <c:ser>
          <c:idx val="137"/>
          <c:order val="137"/>
          <c:tx>
            <c:strRef>
              <c:f>Expert!$O$149:$R$149</c:f>
              <c:strCache>
                <c:ptCount val="4"/>
                <c:pt idx="0">
                  <c:v>South</c:v>
                </c:pt>
                <c:pt idx="1">
                  <c:v>Glue Guns</c:v>
                </c:pt>
                <c:pt idx="2">
                  <c:v>Galaxy</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Expert!$S$149:$AP$149</c:f>
              <c:numCache>
                <c:formatCode>General</c:formatCode>
                <c:ptCount val="24"/>
                <c:pt idx="0">
                  <c:v>891</c:v>
                </c:pt>
                <c:pt idx="1">
                  <c:v>959</c:v>
                </c:pt>
                <c:pt idx="2" formatCode="#,##0">
                  <c:v>1053</c:v>
                </c:pt>
                <c:pt idx="3" formatCode="#,##0">
                  <c:v>1073</c:v>
                </c:pt>
                <c:pt idx="4" formatCode="#,##0">
                  <c:v>1101</c:v>
                </c:pt>
                <c:pt idx="5" formatCode="#,##0">
                  <c:v>1138</c:v>
                </c:pt>
                <c:pt idx="6" formatCode="#,##0">
                  <c:v>1195</c:v>
                </c:pt>
                <c:pt idx="7" formatCode="#,##0">
                  <c:v>1222</c:v>
                </c:pt>
                <c:pt idx="8" formatCode="#,##0">
                  <c:v>1320</c:v>
                </c:pt>
                <c:pt idx="9" formatCode="#,##0">
                  <c:v>1361</c:v>
                </c:pt>
                <c:pt idx="10" formatCode="#,##0">
                  <c:v>1396</c:v>
                </c:pt>
                <c:pt idx="11" formatCode="#,##0">
                  <c:v>1478</c:v>
                </c:pt>
                <c:pt idx="12" formatCode="#,##0">
                  <c:v>1598</c:v>
                </c:pt>
                <c:pt idx="13" formatCode="#,##0">
                  <c:v>1607</c:v>
                </c:pt>
                <c:pt idx="14" formatCode="#,##0">
                  <c:v>1659</c:v>
                </c:pt>
                <c:pt idx="15" formatCode="#,##0">
                  <c:v>1763</c:v>
                </c:pt>
                <c:pt idx="16" formatCode="#,##0">
                  <c:v>1801</c:v>
                </c:pt>
                <c:pt idx="17" formatCode="#,##0">
                  <c:v>1934</c:v>
                </c:pt>
                <c:pt idx="18" formatCode="#,##0">
                  <c:v>1947</c:v>
                </c:pt>
                <c:pt idx="19" formatCode="#,##0">
                  <c:v>2005</c:v>
                </c:pt>
                <c:pt idx="20" formatCode="#,##0">
                  <c:v>2068</c:v>
                </c:pt>
                <c:pt idx="21" formatCode="#,##0">
                  <c:v>2195</c:v>
                </c:pt>
                <c:pt idx="22" formatCode="#,##0">
                  <c:v>2367</c:v>
                </c:pt>
                <c:pt idx="23" formatCode="#,##0">
                  <c:v>2445</c:v>
                </c:pt>
              </c:numCache>
            </c:numRef>
          </c:val>
          <c:extLst>
            <c:ext xmlns:c16="http://schemas.microsoft.com/office/drawing/2014/chart" uri="{C3380CC4-5D6E-409C-BE32-E72D297353CC}">
              <c16:uniqueId val="{00000089-3948-4D11-B9FE-E7A7DC43B39A}"/>
            </c:ext>
          </c:extLst>
        </c:ser>
        <c:ser>
          <c:idx val="138"/>
          <c:order val="138"/>
          <c:tx>
            <c:strRef>
              <c:f>Expert!$O$150:$R$150</c:f>
              <c:strCache>
                <c:ptCount val="4"/>
                <c:pt idx="0">
                  <c:v>South</c:v>
                </c:pt>
                <c:pt idx="1">
                  <c:v>Glue Guns</c:v>
                </c:pt>
                <c:pt idx="2">
                  <c:v>Galaxy</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Expert!$S$150:$AP$150</c:f>
              <c:numCache>
                <c:formatCode>General</c:formatCode>
                <c:ptCount val="24"/>
                <c:pt idx="0">
                  <c:v>306</c:v>
                </c:pt>
                <c:pt idx="1">
                  <c:v>316</c:v>
                </c:pt>
                <c:pt idx="2">
                  <c:v>338</c:v>
                </c:pt>
                <c:pt idx="3">
                  <c:v>351</c:v>
                </c:pt>
                <c:pt idx="4">
                  <c:v>385</c:v>
                </c:pt>
                <c:pt idx="5">
                  <c:v>404</c:v>
                </c:pt>
                <c:pt idx="6">
                  <c:v>407</c:v>
                </c:pt>
                <c:pt idx="7">
                  <c:v>412</c:v>
                </c:pt>
                <c:pt idx="8">
                  <c:v>446</c:v>
                </c:pt>
                <c:pt idx="9">
                  <c:v>446</c:v>
                </c:pt>
                <c:pt idx="10">
                  <c:v>454</c:v>
                </c:pt>
                <c:pt idx="11">
                  <c:v>500</c:v>
                </c:pt>
                <c:pt idx="12">
                  <c:v>507</c:v>
                </c:pt>
                <c:pt idx="13">
                  <c:v>540</c:v>
                </c:pt>
                <c:pt idx="14">
                  <c:v>593</c:v>
                </c:pt>
                <c:pt idx="15">
                  <c:v>627</c:v>
                </c:pt>
                <c:pt idx="16">
                  <c:v>648</c:v>
                </c:pt>
                <c:pt idx="17">
                  <c:v>684</c:v>
                </c:pt>
                <c:pt idx="18">
                  <c:v>749</c:v>
                </c:pt>
                <c:pt idx="19">
                  <c:v>760</c:v>
                </c:pt>
                <c:pt idx="20">
                  <c:v>788</c:v>
                </c:pt>
                <c:pt idx="21">
                  <c:v>811</c:v>
                </c:pt>
                <c:pt idx="22">
                  <c:v>873</c:v>
                </c:pt>
                <c:pt idx="23">
                  <c:v>956</c:v>
                </c:pt>
              </c:numCache>
            </c:numRef>
          </c:val>
          <c:extLst>
            <c:ext xmlns:c16="http://schemas.microsoft.com/office/drawing/2014/chart" uri="{C3380CC4-5D6E-409C-BE32-E72D297353CC}">
              <c16:uniqueId val="{0000008A-3948-4D11-B9FE-E7A7DC43B39A}"/>
            </c:ext>
          </c:extLst>
        </c:ser>
        <c:ser>
          <c:idx val="139"/>
          <c:order val="139"/>
          <c:tx>
            <c:strRef>
              <c:f>Expert!$O$151:$R$151</c:f>
              <c:strCache>
                <c:ptCount val="4"/>
                <c:pt idx="0">
                  <c:v>South</c:v>
                </c:pt>
                <c:pt idx="1">
                  <c:v>Glue Guns</c:v>
                </c:pt>
                <c:pt idx="2">
                  <c:v>Galaxy</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Expert!$S$151:$AP$151</c:f>
              <c:numCache>
                <c:formatCode>General</c:formatCode>
                <c:ptCount val="24"/>
                <c:pt idx="0">
                  <c:v>864</c:v>
                </c:pt>
                <c:pt idx="1">
                  <c:v>893</c:v>
                </c:pt>
                <c:pt idx="2">
                  <c:v>897</c:v>
                </c:pt>
                <c:pt idx="3">
                  <c:v>931</c:v>
                </c:pt>
                <c:pt idx="4">
                  <c:v>962</c:v>
                </c:pt>
                <c:pt idx="5" formatCode="#,##0">
                  <c:v>1003</c:v>
                </c:pt>
                <c:pt idx="6" formatCode="#,##0">
                  <c:v>1103</c:v>
                </c:pt>
                <c:pt idx="7" formatCode="#,##0">
                  <c:v>1168</c:v>
                </c:pt>
                <c:pt idx="8" formatCode="#,##0">
                  <c:v>1260</c:v>
                </c:pt>
                <c:pt idx="9" formatCode="#,##0">
                  <c:v>1272</c:v>
                </c:pt>
                <c:pt idx="10" formatCode="#,##0">
                  <c:v>1375</c:v>
                </c:pt>
                <c:pt idx="11" formatCode="#,##0">
                  <c:v>1404</c:v>
                </c:pt>
                <c:pt idx="12" formatCode="#,##0">
                  <c:v>1531</c:v>
                </c:pt>
                <c:pt idx="13" formatCode="#,##0">
                  <c:v>1586</c:v>
                </c:pt>
                <c:pt idx="14" formatCode="#,##0">
                  <c:v>1729</c:v>
                </c:pt>
                <c:pt idx="15" formatCode="#,##0">
                  <c:v>1807</c:v>
                </c:pt>
                <c:pt idx="16" formatCode="#,##0">
                  <c:v>1945</c:v>
                </c:pt>
                <c:pt idx="17" formatCode="#,##0">
                  <c:v>2129</c:v>
                </c:pt>
                <c:pt idx="18" formatCode="#,##0">
                  <c:v>2144</c:v>
                </c:pt>
                <c:pt idx="19" formatCode="#,##0">
                  <c:v>2355</c:v>
                </c:pt>
                <c:pt idx="20" formatCode="#,##0">
                  <c:v>2431</c:v>
                </c:pt>
                <c:pt idx="21" formatCode="#,##0">
                  <c:v>2659</c:v>
                </c:pt>
                <c:pt idx="22" formatCode="#,##0">
                  <c:v>2767</c:v>
                </c:pt>
                <c:pt idx="23" formatCode="#,##0">
                  <c:v>2872</c:v>
                </c:pt>
              </c:numCache>
            </c:numRef>
          </c:val>
          <c:extLst>
            <c:ext xmlns:c16="http://schemas.microsoft.com/office/drawing/2014/chart" uri="{C3380CC4-5D6E-409C-BE32-E72D297353CC}">
              <c16:uniqueId val="{0000008B-3948-4D11-B9FE-E7A7DC43B39A}"/>
            </c:ext>
          </c:extLst>
        </c:ser>
        <c:ser>
          <c:idx val="140"/>
          <c:order val="140"/>
          <c:tx>
            <c:strRef>
              <c:f>Expert!$O$152:$R$152</c:f>
              <c:strCache>
                <c:ptCount val="4"/>
                <c:pt idx="0">
                  <c:v>South</c:v>
                </c:pt>
                <c:pt idx="1">
                  <c:v>Glue Guns</c:v>
                </c:pt>
                <c:pt idx="2">
                  <c:v>Planet</c:v>
                </c:pt>
                <c:pt idx="3">
                  <c:v>James Kirk</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Expert!$S$152:$AP$152</c:f>
              <c:numCache>
                <c:formatCode>General</c:formatCode>
                <c:ptCount val="24"/>
                <c:pt idx="0">
                  <c:v>197</c:v>
                </c:pt>
                <c:pt idx="1">
                  <c:v>201</c:v>
                </c:pt>
                <c:pt idx="2">
                  <c:v>218</c:v>
                </c:pt>
                <c:pt idx="3">
                  <c:v>231</c:v>
                </c:pt>
                <c:pt idx="4">
                  <c:v>247</c:v>
                </c:pt>
                <c:pt idx="5">
                  <c:v>267</c:v>
                </c:pt>
                <c:pt idx="6">
                  <c:v>278</c:v>
                </c:pt>
                <c:pt idx="7">
                  <c:v>295</c:v>
                </c:pt>
                <c:pt idx="8">
                  <c:v>315</c:v>
                </c:pt>
                <c:pt idx="9">
                  <c:v>322</c:v>
                </c:pt>
                <c:pt idx="10">
                  <c:v>338</c:v>
                </c:pt>
                <c:pt idx="11">
                  <c:v>369</c:v>
                </c:pt>
                <c:pt idx="12">
                  <c:v>404</c:v>
                </c:pt>
                <c:pt idx="13">
                  <c:v>418</c:v>
                </c:pt>
                <c:pt idx="14">
                  <c:v>437</c:v>
                </c:pt>
                <c:pt idx="15">
                  <c:v>473</c:v>
                </c:pt>
                <c:pt idx="16">
                  <c:v>512</c:v>
                </c:pt>
                <c:pt idx="17">
                  <c:v>523</c:v>
                </c:pt>
                <c:pt idx="18">
                  <c:v>566</c:v>
                </c:pt>
                <c:pt idx="19">
                  <c:v>587</c:v>
                </c:pt>
                <c:pt idx="20">
                  <c:v>628</c:v>
                </c:pt>
                <c:pt idx="21">
                  <c:v>651</c:v>
                </c:pt>
                <c:pt idx="22">
                  <c:v>703</c:v>
                </c:pt>
                <c:pt idx="23">
                  <c:v>730</c:v>
                </c:pt>
              </c:numCache>
            </c:numRef>
          </c:val>
          <c:extLst>
            <c:ext xmlns:c16="http://schemas.microsoft.com/office/drawing/2014/chart" uri="{C3380CC4-5D6E-409C-BE32-E72D297353CC}">
              <c16:uniqueId val="{0000008C-3948-4D11-B9FE-E7A7DC43B39A}"/>
            </c:ext>
          </c:extLst>
        </c:ser>
        <c:ser>
          <c:idx val="141"/>
          <c:order val="141"/>
          <c:tx>
            <c:strRef>
              <c:f>Expert!$O$153:$R$153</c:f>
              <c:strCache>
                <c:ptCount val="4"/>
                <c:pt idx="0">
                  <c:v>South</c:v>
                </c:pt>
                <c:pt idx="1">
                  <c:v>Glue Guns</c:v>
                </c:pt>
                <c:pt idx="2">
                  <c:v>Planet</c:v>
                </c:pt>
                <c:pt idx="3">
                  <c:v>Luke Skywalker</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Expert!$S$153:$AP$153</c:f>
              <c:numCache>
                <c:formatCode>General</c:formatCode>
                <c:ptCount val="24"/>
                <c:pt idx="0">
                  <c:v>585</c:v>
                </c:pt>
                <c:pt idx="1">
                  <c:v>641</c:v>
                </c:pt>
                <c:pt idx="2">
                  <c:v>701</c:v>
                </c:pt>
                <c:pt idx="3">
                  <c:v>765</c:v>
                </c:pt>
                <c:pt idx="4">
                  <c:v>767</c:v>
                </c:pt>
                <c:pt idx="5">
                  <c:v>838</c:v>
                </c:pt>
                <c:pt idx="6">
                  <c:v>891</c:v>
                </c:pt>
                <c:pt idx="7">
                  <c:v>931</c:v>
                </c:pt>
                <c:pt idx="8">
                  <c:v>940</c:v>
                </c:pt>
                <c:pt idx="9" formatCode="#,##0">
                  <c:v>1004</c:v>
                </c:pt>
                <c:pt idx="10" formatCode="#,##0">
                  <c:v>1011</c:v>
                </c:pt>
                <c:pt idx="11" formatCode="#,##0">
                  <c:v>1095</c:v>
                </c:pt>
                <c:pt idx="12" formatCode="#,##0">
                  <c:v>1134</c:v>
                </c:pt>
                <c:pt idx="13" formatCode="#,##0">
                  <c:v>1245</c:v>
                </c:pt>
                <c:pt idx="14" formatCode="#,##0">
                  <c:v>1291</c:v>
                </c:pt>
                <c:pt idx="15" formatCode="#,##0">
                  <c:v>1318</c:v>
                </c:pt>
                <c:pt idx="16" formatCode="#,##0">
                  <c:v>1347</c:v>
                </c:pt>
                <c:pt idx="17" formatCode="#,##0">
                  <c:v>1404</c:v>
                </c:pt>
                <c:pt idx="18" formatCode="#,##0">
                  <c:v>1416</c:v>
                </c:pt>
                <c:pt idx="19" formatCode="#,##0">
                  <c:v>1419</c:v>
                </c:pt>
                <c:pt idx="20" formatCode="#,##0">
                  <c:v>1494</c:v>
                </c:pt>
                <c:pt idx="21" formatCode="#,##0">
                  <c:v>1590</c:v>
                </c:pt>
                <c:pt idx="22" formatCode="#,##0">
                  <c:v>1720</c:v>
                </c:pt>
                <c:pt idx="23" formatCode="#,##0">
                  <c:v>1884</c:v>
                </c:pt>
              </c:numCache>
            </c:numRef>
          </c:val>
          <c:extLst>
            <c:ext xmlns:c16="http://schemas.microsoft.com/office/drawing/2014/chart" uri="{C3380CC4-5D6E-409C-BE32-E72D297353CC}">
              <c16:uniqueId val="{0000008D-3948-4D11-B9FE-E7A7DC43B39A}"/>
            </c:ext>
          </c:extLst>
        </c:ser>
        <c:ser>
          <c:idx val="142"/>
          <c:order val="142"/>
          <c:tx>
            <c:strRef>
              <c:f>Expert!$O$154:$R$154</c:f>
              <c:strCache>
                <c:ptCount val="4"/>
                <c:pt idx="0">
                  <c:v>South</c:v>
                </c:pt>
                <c:pt idx="1">
                  <c:v>Glue Guns</c:v>
                </c:pt>
                <c:pt idx="2">
                  <c:v>Planet</c:v>
                </c:pt>
                <c:pt idx="3">
                  <c:v>Hansolo</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Expert!$S$154:$AP$154</c:f>
              <c:numCache>
                <c:formatCode>General</c:formatCode>
                <c:ptCount val="24"/>
                <c:pt idx="0">
                  <c:v>263</c:v>
                </c:pt>
                <c:pt idx="1">
                  <c:v>272</c:v>
                </c:pt>
                <c:pt idx="2">
                  <c:v>291</c:v>
                </c:pt>
                <c:pt idx="3">
                  <c:v>295</c:v>
                </c:pt>
                <c:pt idx="4">
                  <c:v>296</c:v>
                </c:pt>
                <c:pt idx="5">
                  <c:v>310</c:v>
                </c:pt>
                <c:pt idx="6">
                  <c:v>315</c:v>
                </c:pt>
                <c:pt idx="7">
                  <c:v>320</c:v>
                </c:pt>
                <c:pt idx="8">
                  <c:v>348</c:v>
                </c:pt>
                <c:pt idx="9">
                  <c:v>361</c:v>
                </c:pt>
                <c:pt idx="10">
                  <c:v>397</c:v>
                </c:pt>
                <c:pt idx="11">
                  <c:v>403</c:v>
                </c:pt>
                <c:pt idx="12">
                  <c:v>431</c:v>
                </c:pt>
                <c:pt idx="13">
                  <c:v>450</c:v>
                </c:pt>
                <c:pt idx="14">
                  <c:v>478</c:v>
                </c:pt>
                <c:pt idx="15">
                  <c:v>480</c:v>
                </c:pt>
                <c:pt idx="16">
                  <c:v>496</c:v>
                </c:pt>
                <c:pt idx="17">
                  <c:v>504</c:v>
                </c:pt>
                <c:pt idx="18">
                  <c:v>537</c:v>
                </c:pt>
                <c:pt idx="19">
                  <c:v>577</c:v>
                </c:pt>
                <c:pt idx="20">
                  <c:v>603</c:v>
                </c:pt>
                <c:pt idx="21">
                  <c:v>625</c:v>
                </c:pt>
                <c:pt idx="22">
                  <c:v>628</c:v>
                </c:pt>
                <c:pt idx="23">
                  <c:v>665</c:v>
                </c:pt>
              </c:numCache>
            </c:numRef>
          </c:val>
          <c:extLst>
            <c:ext xmlns:c16="http://schemas.microsoft.com/office/drawing/2014/chart" uri="{C3380CC4-5D6E-409C-BE32-E72D297353CC}">
              <c16:uniqueId val="{0000008E-3948-4D11-B9FE-E7A7DC43B39A}"/>
            </c:ext>
          </c:extLst>
        </c:ser>
        <c:ser>
          <c:idx val="143"/>
          <c:order val="143"/>
          <c:tx>
            <c:strRef>
              <c:f>Expert!$O$155:$R$155</c:f>
              <c:strCache>
                <c:ptCount val="4"/>
                <c:pt idx="0">
                  <c:v>South</c:v>
                </c:pt>
                <c:pt idx="1">
                  <c:v>Glue Guns</c:v>
                </c:pt>
                <c:pt idx="2">
                  <c:v>Planet</c:v>
                </c:pt>
                <c:pt idx="3">
                  <c:v>Chewbacca</c:v>
                </c:pt>
              </c:strCache>
            </c:strRef>
          </c:tx>
          <c:invertIfNegative val="0"/>
          <c:cat>
            <c:strRef>
              <c:f>Expert!$S$11:$AP$11</c:f>
              <c:strCache>
                <c:ptCount val="24"/>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strCache>
            </c:strRef>
          </c:cat>
          <c:val>
            <c:numRef>
              <c:f>Expert!$S$155:$AP$155</c:f>
              <c:numCache>
                <c:formatCode>General</c:formatCode>
                <c:ptCount val="24"/>
                <c:pt idx="0">
                  <c:v>420</c:v>
                </c:pt>
                <c:pt idx="1">
                  <c:v>441</c:v>
                </c:pt>
                <c:pt idx="2">
                  <c:v>470</c:v>
                </c:pt>
                <c:pt idx="3">
                  <c:v>505</c:v>
                </c:pt>
                <c:pt idx="4">
                  <c:v>554</c:v>
                </c:pt>
                <c:pt idx="5">
                  <c:v>561</c:v>
                </c:pt>
                <c:pt idx="6">
                  <c:v>611</c:v>
                </c:pt>
                <c:pt idx="7">
                  <c:v>611</c:v>
                </c:pt>
                <c:pt idx="8">
                  <c:v>667</c:v>
                </c:pt>
                <c:pt idx="9">
                  <c:v>680</c:v>
                </c:pt>
                <c:pt idx="10">
                  <c:v>717</c:v>
                </c:pt>
                <c:pt idx="11">
                  <c:v>726</c:v>
                </c:pt>
                <c:pt idx="12">
                  <c:v>739</c:v>
                </c:pt>
                <c:pt idx="13">
                  <c:v>774</c:v>
                </c:pt>
                <c:pt idx="14">
                  <c:v>835</c:v>
                </c:pt>
                <c:pt idx="15">
                  <c:v>854</c:v>
                </c:pt>
                <c:pt idx="16">
                  <c:v>917</c:v>
                </c:pt>
                <c:pt idx="17" formatCode="#,##0">
                  <c:v>1004</c:v>
                </c:pt>
                <c:pt idx="18" formatCode="#,##0">
                  <c:v>1034</c:v>
                </c:pt>
                <c:pt idx="19" formatCode="#,##0">
                  <c:v>1077</c:v>
                </c:pt>
                <c:pt idx="20" formatCode="#,##0">
                  <c:v>1125</c:v>
                </c:pt>
                <c:pt idx="21" formatCode="#,##0">
                  <c:v>1169</c:v>
                </c:pt>
                <c:pt idx="22" formatCode="#,##0">
                  <c:v>1283</c:v>
                </c:pt>
                <c:pt idx="23" formatCode="#,##0">
                  <c:v>1341</c:v>
                </c:pt>
              </c:numCache>
            </c:numRef>
          </c:val>
          <c:extLst>
            <c:ext xmlns:c16="http://schemas.microsoft.com/office/drawing/2014/chart" uri="{C3380CC4-5D6E-409C-BE32-E72D297353CC}">
              <c16:uniqueId val="{0000008F-3948-4D11-B9FE-E7A7DC43B39A}"/>
            </c:ext>
          </c:extLst>
        </c:ser>
        <c:dLbls>
          <c:showLegendKey val="0"/>
          <c:showVal val="0"/>
          <c:showCatName val="0"/>
          <c:showSerName val="0"/>
          <c:showPercent val="0"/>
          <c:showBubbleSize val="0"/>
        </c:dLbls>
        <c:gapWidth val="150"/>
        <c:axId val="327120136"/>
        <c:axId val="327120528"/>
      </c:barChart>
      <c:catAx>
        <c:axId val="327120136"/>
        <c:scaling>
          <c:orientation val="minMax"/>
        </c:scaling>
        <c:delete val="0"/>
        <c:axPos val="b"/>
        <c:numFmt formatCode="General" sourceLinked="1"/>
        <c:majorTickMark val="out"/>
        <c:minorTickMark val="none"/>
        <c:tickLblPos val="nextTo"/>
        <c:crossAx val="327120528"/>
        <c:crosses val="autoZero"/>
        <c:auto val="1"/>
        <c:lblAlgn val="ctr"/>
        <c:lblOffset val="100"/>
        <c:noMultiLvlLbl val="1"/>
      </c:catAx>
      <c:valAx>
        <c:axId val="327120528"/>
        <c:scaling>
          <c:orientation val="minMax"/>
        </c:scaling>
        <c:delete val="0"/>
        <c:axPos val="l"/>
        <c:numFmt formatCode="General" sourceLinked="1"/>
        <c:majorTickMark val="out"/>
        <c:minorTickMark val="none"/>
        <c:tickLblPos val="nextTo"/>
        <c:crossAx val="327120136"/>
        <c:crosses val="autoZero"/>
        <c:crossBetween val="between"/>
      </c:valAx>
    </c:plotArea>
    <c:legend>
      <c:legendPos val="r"/>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198120</xdr:colOff>
          <xdr:row>1</xdr:row>
          <xdr:rowOff>45720</xdr:rowOff>
        </xdr:from>
        <xdr:to>
          <xdr:col>4</xdr:col>
          <xdr:colOff>1150620</xdr:colOff>
          <xdr:row>3</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331470</xdr:colOff>
      <xdr:row>29</xdr:row>
      <xdr:rowOff>115252</xdr:rowOff>
    </xdr:from>
    <xdr:to>
      <xdr:col>5</xdr:col>
      <xdr:colOff>609600</xdr:colOff>
      <xdr:row>46</xdr:row>
      <xdr:rowOff>96202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142875</xdr:colOff>
      <xdr:row>80</xdr:row>
      <xdr:rowOff>71437</xdr:rowOff>
    </xdr:from>
    <xdr:to>
      <xdr:col>4</xdr:col>
      <xdr:colOff>1000125</xdr:colOff>
      <xdr:row>96</xdr:row>
      <xdr:rowOff>138112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xdr:colOff>
      <xdr:row>11</xdr:row>
      <xdr:rowOff>38100</xdr:rowOff>
    </xdr:from>
    <xdr:to>
      <xdr:col>4</xdr:col>
      <xdr:colOff>5747497</xdr:colOff>
      <xdr:row>37</xdr:row>
      <xdr:rowOff>42134</xdr:rowOff>
    </xdr:to>
    <xdr:pic>
      <xdr:nvPicPr>
        <xdr:cNvPr id="3073" name="Picture 1">
          <a:extLst>
            <a:ext uri="{FF2B5EF4-FFF2-40B4-BE49-F238E27FC236}">
              <a16:creationId xmlns:a16="http://schemas.microsoft.com/office/drawing/2014/main" id="{00000000-0008-0000-0300-0000010C0000}"/>
            </a:ext>
          </a:extLst>
        </xdr:cNvPr>
        <xdr:cNvPicPr>
          <a:picLocks noChangeAspect="1" noChangeArrowheads="1"/>
        </xdr:cNvPicPr>
      </xdr:nvPicPr>
      <xdr:blipFill>
        <a:blip xmlns:r="http://schemas.openxmlformats.org/officeDocument/2006/relationships" r:embed="rId1" cstate="print"/>
        <a:srcRect l="6149" t="28646" r="29649" b="10417"/>
        <a:stretch>
          <a:fillRect/>
        </a:stretch>
      </xdr:blipFill>
      <xdr:spPr bwMode="auto">
        <a:xfrm>
          <a:off x="657225" y="990600"/>
          <a:ext cx="6181725" cy="4457700"/>
        </a:xfrm>
        <a:prstGeom prst="rect">
          <a:avLst/>
        </a:prstGeom>
        <a:noFill/>
        <a:ln w="1">
          <a:noFill/>
          <a:miter lim="800000"/>
          <a:headEnd/>
          <a:tailEnd type="none" w="med" len="med"/>
        </a:ln>
        <a:effectLst/>
      </xdr:spPr>
    </xdr:pic>
    <xdr:clientData/>
  </xdr:twoCellAnchor>
  <xdr:twoCellAnchor editAs="oneCell">
    <xdr:from>
      <xdr:col>4</xdr:col>
      <xdr:colOff>61857</xdr:colOff>
      <xdr:row>43</xdr:row>
      <xdr:rowOff>161813</xdr:rowOff>
    </xdr:from>
    <xdr:to>
      <xdr:col>4</xdr:col>
      <xdr:colOff>3716767</xdr:colOff>
      <xdr:row>58</xdr:row>
      <xdr:rowOff>76761</xdr:rowOff>
    </xdr:to>
    <xdr:pic>
      <xdr:nvPicPr>
        <xdr:cNvPr id="2050" name="Picture 2">
          <a:extLst>
            <a:ext uri="{FF2B5EF4-FFF2-40B4-BE49-F238E27FC236}">
              <a16:creationId xmlns:a16="http://schemas.microsoft.com/office/drawing/2014/main" id="{00000000-0008-0000-0300-000002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203077" y="8025653"/>
          <a:ext cx="3654910" cy="2658148"/>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5</xdr:col>
      <xdr:colOff>22860</xdr:colOff>
      <xdr:row>13</xdr:row>
      <xdr:rowOff>22860</xdr:rowOff>
    </xdr:from>
    <xdr:to>
      <xdr:col>7</xdr:col>
      <xdr:colOff>981075</xdr:colOff>
      <xdr:row>29</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51435</xdr:colOff>
      <xdr:row>30</xdr:row>
      <xdr:rowOff>19050</xdr:rowOff>
    </xdr:from>
    <xdr:to>
      <xdr:col>5</xdr:col>
      <xdr:colOff>2318385</xdr:colOff>
      <xdr:row>43</xdr:row>
      <xdr:rowOff>152400</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335280</xdr:colOff>
      <xdr:row>30</xdr:row>
      <xdr:rowOff>1</xdr:rowOff>
    </xdr:from>
    <xdr:to>
      <xdr:col>11</xdr:col>
      <xdr:colOff>594360</xdr:colOff>
      <xdr:row>43</xdr:row>
      <xdr:rowOff>99060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9525</xdr:colOff>
      <xdr:row>13</xdr:row>
      <xdr:rowOff>30480</xdr:rowOff>
    </xdr:from>
    <xdr:to>
      <xdr:col>11</xdr:col>
      <xdr:colOff>552450</xdr:colOff>
      <xdr:row>29</xdr:row>
      <xdr:rowOff>19050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2352675</xdr:colOff>
      <xdr:row>30</xdr:row>
      <xdr:rowOff>19049</xdr:rowOff>
    </xdr:from>
    <xdr:to>
      <xdr:col>8</xdr:col>
      <xdr:colOff>314325</xdr:colOff>
      <xdr:row>43</xdr:row>
      <xdr:rowOff>161925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22860</xdr:colOff>
      <xdr:row>49</xdr:row>
      <xdr:rowOff>76200</xdr:rowOff>
    </xdr:from>
    <xdr:to>
      <xdr:col>7</xdr:col>
      <xdr:colOff>1021080</xdr:colOff>
      <xdr:row>50</xdr:row>
      <xdr:rowOff>167640</xdr:rowOff>
    </xdr:to>
    <xdr:sp macro="" textlink="">
      <xdr:nvSpPr>
        <xdr:cNvPr id="12" name="Rectangle 11">
          <a:extLst>
            <a:ext uri="{FF2B5EF4-FFF2-40B4-BE49-F238E27FC236}">
              <a16:creationId xmlns:a16="http://schemas.microsoft.com/office/drawing/2014/main" id="{00000000-0008-0000-0300-00000C000000}"/>
            </a:ext>
          </a:extLst>
        </xdr:cNvPr>
        <xdr:cNvSpPr/>
      </xdr:nvSpPr>
      <xdr:spPr>
        <a:xfrm>
          <a:off x="14310360" y="9037320"/>
          <a:ext cx="998220" cy="274320"/>
        </a:xfrm>
        <a:prstGeom prst="rect">
          <a:avLst/>
        </a:prstGeom>
        <a:solidFill>
          <a:schemeClr val="bg2">
            <a:lumMod val="9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a:solidFill>
                <a:sysClr val="windowText" lastClr="000000"/>
              </a:solidFill>
            </a:rPr>
            <a:t>Region</a:t>
          </a:r>
        </a:p>
      </xdr:txBody>
    </xdr:sp>
    <xdr:clientData/>
  </xdr:twoCellAnchor>
  <xdr:twoCellAnchor>
    <xdr:from>
      <xdr:col>8</xdr:col>
      <xdr:colOff>22860</xdr:colOff>
      <xdr:row>49</xdr:row>
      <xdr:rowOff>68580</xdr:rowOff>
    </xdr:from>
    <xdr:to>
      <xdr:col>8</xdr:col>
      <xdr:colOff>716280</xdr:colOff>
      <xdr:row>50</xdr:row>
      <xdr:rowOff>160020</xdr:rowOff>
    </xdr:to>
    <xdr:sp macro="" textlink="">
      <xdr:nvSpPr>
        <xdr:cNvPr id="17" name="Rectangle 16">
          <a:extLst>
            <a:ext uri="{FF2B5EF4-FFF2-40B4-BE49-F238E27FC236}">
              <a16:creationId xmlns:a16="http://schemas.microsoft.com/office/drawing/2014/main" id="{00000000-0008-0000-0300-000011000000}"/>
            </a:ext>
          </a:extLst>
        </xdr:cNvPr>
        <xdr:cNvSpPr/>
      </xdr:nvSpPr>
      <xdr:spPr>
        <a:xfrm>
          <a:off x="15339060" y="9029700"/>
          <a:ext cx="693420" cy="274320"/>
        </a:xfrm>
        <a:prstGeom prst="rect">
          <a:avLst/>
        </a:prstGeom>
        <a:solidFill>
          <a:schemeClr val="bg2">
            <a:lumMod val="9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a:solidFill>
                <a:sysClr val="windowText" lastClr="000000"/>
              </a:solidFill>
            </a:rPr>
            <a:t>Product</a:t>
          </a:r>
        </a:p>
      </xdr:txBody>
    </xdr:sp>
    <xdr:clientData/>
  </xdr:twoCellAnchor>
  <xdr:twoCellAnchor>
    <xdr:from>
      <xdr:col>9</xdr:col>
      <xdr:colOff>7620</xdr:colOff>
      <xdr:row>49</xdr:row>
      <xdr:rowOff>60960</xdr:rowOff>
    </xdr:from>
    <xdr:to>
      <xdr:col>10</xdr:col>
      <xdr:colOff>541020</xdr:colOff>
      <xdr:row>50</xdr:row>
      <xdr:rowOff>152400</xdr:rowOff>
    </xdr:to>
    <xdr:sp macro="" textlink="">
      <xdr:nvSpPr>
        <xdr:cNvPr id="18" name="Rectangle 17">
          <a:extLst>
            <a:ext uri="{FF2B5EF4-FFF2-40B4-BE49-F238E27FC236}">
              <a16:creationId xmlns:a16="http://schemas.microsoft.com/office/drawing/2014/main" id="{00000000-0008-0000-0300-000012000000}"/>
            </a:ext>
          </a:extLst>
        </xdr:cNvPr>
        <xdr:cNvSpPr/>
      </xdr:nvSpPr>
      <xdr:spPr>
        <a:xfrm>
          <a:off x="16062960" y="9022080"/>
          <a:ext cx="1158240" cy="274320"/>
        </a:xfrm>
        <a:prstGeom prst="rect">
          <a:avLst/>
        </a:prstGeom>
        <a:solidFill>
          <a:schemeClr val="bg2">
            <a:lumMod val="9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a:solidFill>
                <a:sysClr val="windowText" lastClr="000000"/>
              </a:solidFill>
            </a:rPr>
            <a:t>Customer</a:t>
          </a:r>
          <a:r>
            <a:rPr lang="en-IN" sz="1200" baseline="0">
              <a:solidFill>
                <a:sysClr val="windowText" lastClr="000000"/>
              </a:solidFill>
            </a:rPr>
            <a:t> Type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6</xdr:row>
      <xdr:rowOff>0</xdr:rowOff>
    </xdr:from>
    <xdr:to>
      <xdr:col>13</xdr:col>
      <xdr:colOff>322329</xdr:colOff>
      <xdr:row>20</xdr:row>
      <xdr:rowOff>67218</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eshani" refreshedDate="41963.977282060187" createdVersion="5" refreshedVersion="5" minRefreshableVersion="3" recordCount="13" xr:uid="{00000000-000A-0000-FFFF-FFFF04000000}">
  <cacheSource type="worksheet">
    <worksheetSource ref="B4:H17" sheet="Intermediate  "/>
  </cacheSource>
  <cacheFields count="8">
    <cacheField name="Sales Person" numFmtId="17">
      <sharedItems/>
    </cacheField>
    <cacheField name="Gender" numFmtId="17">
      <sharedItems/>
    </cacheField>
    <cacheField name="Quotes" numFmtId="1">
      <sharedItems containsSemiMixedTypes="0" containsString="0" containsNumber="1" containsInteger="1" minValue="10" maxValue="70"/>
    </cacheField>
    <cacheField name="Sales ( in Volume)" numFmtId="1">
      <sharedItems containsSemiMixedTypes="0" containsString="0" containsNumber="1" containsInteger="1" minValue="0" maxValue="10"/>
    </cacheField>
    <cacheField name="Sales ( in Value)" numFmtId="1">
      <sharedItems containsSemiMixedTypes="0" containsString="0" containsNumber="1" containsInteger="1" minValue="0" maxValue="4000"/>
    </cacheField>
    <cacheField name="Sold Month and Year" numFmtId="0">
      <sharedItems containsSemiMixedTypes="0" containsString="0" containsNumber="1" containsInteger="1" minValue="12013" maxValue="92013"/>
    </cacheField>
    <cacheField name="month" numFmtId="0">
      <sharedItems count="7">
        <s v="1"/>
        <s v="3"/>
        <s v="4"/>
        <s v="5"/>
        <s v="7"/>
        <s v="8"/>
        <s v="9"/>
      </sharedItems>
    </cacheField>
    <cacheField name="Gross Premium" numFmtId="0" formula=" 10%*'Sales ( in Value)'"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
  <r>
    <s v="Cara"/>
    <s v="F"/>
    <n v="70"/>
    <n v="10"/>
    <n v="800"/>
    <n v="12013"/>
    <x v="0"/>
  </r>
  <r>
    <s v="Jessy"/>
    <s v="M"/>
    <n v="30"/>
    <n v="7"/>
    <n v="400"/>
    <n v="12013"/>
    <x v="0"/>
  </r>
  <r>
    <s v="Annie"/>
    <s v="F"/>
    <n v="20"/>
    <n v="2"/>
    <n v="2000"/>
    <n v="12013"/>
    <x v="0"/>
  </r>
  <r>
    <s v="Stu"/>
    <s v="M"/>
    <n v="30"/>
    <n v="0"/>
    <n v="0"/>
    <n v="12013"/>
    <x v="0"/>
  </r>
  <r>
    <s v="Aaaron"/>
    <s v="M"/>
    <n v="10"/>
    <n v="1"/>
    <n v="0"/>
    <n v="12014"/>
    <x v="0"/>
  </r>
  <r>
    <s v="Lewis"/>
    <s v="M"/>
    <n v="40"/>
    <n v="5"/>
    <n v="400"/>
    <n v="32013"/>
    <x v="1"/>
  </r>
  <r>
    <s v="Tommy"/>
    <s v="M"/>
    <n v="24"/>
    <n v="3"/>
    <n v="1200"/>
    <n v="42013"/>
    <x v="2"/>
  </r>
  <r>
    <s v="Jack"/>
    <s v="M"/>
    <n v="10"/>
    <n v="1"/>
    <n v="0"/>
    <n v="52013"/>
    <x v="3"/>
  </r>
  <r>
    <s v="Hugo"/>
    <s v="M"/>
    <n v="30"/>
    <n v="1"/>
    <n v="400"/>
    <n v="52013"/>
    <x v="3"/>
  </r>
  <r>
    <s v="Jonathan"/>
    <s v="M"/>
    <n v="14"/>
    <n v="1"/>
    <n v="0"/>
    <n v="72013"/>
    <x v="4"/>
  </r>
  <r>
    <s v="Willy"/>
    <s v="M"/>
    <n v="12"/>
    <n v="0"/>
    <n v="2800"/>
    <n v="82013"/>
    <x v="5"/>
  </r>
  <r>
    <s v="Sarah"/>
    <s v="F"/>
    <n v="10"/>
    <n v="0"/>
    <n v="4000"/>
    <n v="92013"/>
    <x v="6"/>
  </r>
  <r>
    <s v="Zara"/>
    <s v="M"/>
    <n v="15"/>
    <n v="0"/>
    <n v="400"/>
    <n v="92013"/>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6">
  <location ref="B56:E64" firstHeaderRow="0" firstDataRow="1" firstDataCol="1"/>
  <pivotFields count="8">
    <pivotField dataField="1" showAll="0"/>
    <pivotField showAll="0"/>
    <pivotField numFmtId="1" showAll="0"/>
    <pivotField numFmtId="1" showAll="0"/>
    <pivotField dataField="1" numFmtId="1" showAll="0"/>
    <pivotField showAll="0"/>
    <pivotField axis="axisRow" showAll="0" defaultSubtotal="0">
      <items count="7">
        <item x="0"/>
        <item x="1"/>
        <item x="2"/>
        <item x="3"/>
        <item x="4"/>
        <item x="5"/>
        <item x="6"/>
      </items>
    </pivotField>
    <pivotField dataField="1" dragToRow="0" dragToCol="0" dragToPage="0" showAll="0" defaultSubtotal="0"/>
  </pivotFields>
  <rowFields count="1">
    <field x="6"/>
  </rowFields>
  <rowItems count="8">
    <i>
      <x/>
    </i>
    <i>
      <x v="1"/>
    </i>
    <i>
      <x v="2"/>
    </i>
    <i>
      <x v="3"/>
    </i>
    <i>
      <x v="4"/>
    </i>
    <i>
      <x v="5"/>
    </i>
    <i>
      <x v="6"/>
    </i>
    <i t="grand">
      <x/>
    </i>
  </rowItems>
  <colFields count="1">
    <field x="-2"/>
  </colFields>
  <colItems count="3">
    <i>
      <x/>
    </i>
    <i i="1">
      <x v="1"/>
    </i>
    <i i="2">
      <x v="2"/>
    </i>
  </colItems>
  <dataFields count="3">
    <dataField name="Sales person's count" fld="0" subtotal="count" baseField="6" baseItem="0"/>
    <dataField name="Sales in Value" fld="4" baseField="0" baseItem="0"/>
    <dataField name="Gross Premium " fld="7" baseField="0" baseItem="0" numFmtId="1"/>
  </dataField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cel test support 4.1_1" connectionId="1" xr16:uid="{00000000-0016-0000-0200-000000000000}" autoFormatId="16" applyNumberFormats="0" applyBorderFormats="0" applyFontFormats="0" applyPatternFormats="0"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2DED1E-98AD-43BD-A209-85D5EF650740}" name="Table1" displayName="Table1" ref="AU17:BS21" totalsRowCount="1">
  <tableColumns count="25">
    <tableColumn id="1" xr3:uid="{F80E8B0A-D48B-42A8-8136-C48AB6795012}" name="Products" totalsRowLabel="Total" dataDxfId="56" totalsRowDxfId="55"/>
    <tableColumn id="2" xr3:uid="{C6F6996A-C0BE-4B56-9318-A27DEFF68096}" name="Jan-08" totalsRowFunction="sum">
      <calculatedColumnFormula>SUMIFS(S$12:S$155,$P$12:$P$155,$AU18)</calculatedColumnFormula>
    </tableColumn>
    <tableColumn id="3" xr3:uid="{EE693D50-EE23-4A97-8D59-0C793C7DDF95}" name="Feb-08" totalsRowFunction="sum">
      <calculatedColumnFormula>SUMIFS(T$12:T$155,$P$12:$P$155,$AU18)</calculatedColumnFormula>
    </tableColumn>
    <tableColumn id="4" xr3:uid="{5E622795-319C-4B46-98EF-6B612DD57605}" name="Mar-08" totalsRowFunction="sum">
      <calculatedColumnFormula>SUMIFS(U$12:U$155,$P$12:$P$155,$AU18)</calculatedColumnFormula>
    </tableColumn>
    <tableColumn id="5" xr3:uid="{F57577EA-C3D6-4325-9274-226C39F0ACCB}" name="Apr-08" totalsRowFunction="sum" totalsRowDxfId="54">
      <calculatedColumnFormula>SUMIFS(V$12:V$155,$P$12:$P$155,$AU18)</calculatedColumnFormula>
    </tableColumn>
    <tableColumn id="6" xr3:uid="{89807309-EA78-4597-9E21-3F9E0581A6DF}" name="May-08" totalsRowFunction="sum" totalsRowDxfId="53">
      <calculatedColumnFormula>SUMIFS(W$12:W$155,$P$12:$P$155,$AU18)</calculatedColumnFormula>
    </tableColumn>
    <tableColumn id="7" xr3:uid="{01B75B1C-E314-4167-A2B0-723D4E38711D}" name="Jun-08" totalsRowFunction="sum" totalsRowDxfId="52">
      <calculatedColumnFormula>SUMIFS(X$12:X$155,$P$12:$P$155,$AU18)</calculatedColumnFormula>
    </tableColumn>
    <tableColumn id="8" xr3:uid="{1B0F6CB3-2B62-4CDF-82A7-7D0E5C6440DF}" name="Jul-08" totalsRowFunction="sum" totalsRowDxfId="51">
      <calculatedColumnFormula>SUMIFS(Y$12:Y$155,$P$12:$P$155,$AU18)</calculatedColumnFormula>
    </tableColumn>
    <tableColumn id="9" xr3:uid="{7E7EFC0C-C5C1-4BD4-9866-756CD7F4A30C}" name="Aug-08" totalsRowFunction="sum" totalsRowDxfId="50">
      <calculatedColumnFormula>SUMIFS(Z$12:Z$155,$P$12:$P$155,$AU18)</calculatedColumnFormula>
    </tableColumn>
    <tableColumn id="10" xr3:uid="{A1D4A8B7-2EFC-4A80-BA4B-CAACB555E6E0}" name="Sep-08" totalsRowFunction="sum" totalsRowDxfId="49">
      <calculatedColumnFormula>SUMIFS(AA$12:AA$155,$P$12:$P$155,$AU18)</calculatedColumnFormula>
    </tableColumn>
    <tableColumn id="11" xr3:uid="{228CF41C-414A-4A9C-818B-DC165960D117}" name="Oct-08" totalsRowFunction="sum" totalsRowDxfId="48">
      <calculatedColumnFormula>SUMIFS(AB$12:AB$155,$P$12:$P$155,$AU18)</calculatedColumnFormula>
    </tableColumn>
    <tableColumn id="12" xr3:uid="{2E9D1C34-B029-40DD-9E70-74BCCFF3A734}" name="Nov-08" totalsRowFunction="sum" totalsRowDxfId="47">
      <calculatedColumnFormula>SUMIFS(AC$12:AC$155,$P$12:$P$155,$AU18)</calculatedColumnFormula>
    </tableColumn>
    <tableColumn id="13" xr3:uid="{197FDC9D-AF0F-47F4-B614-0ADF68581E4F}" name="Dec-08" totalsRowFunction="sum" totalsRowDxfId="46">
      <calculatedColumnFormula>SUMIFS(AD$12:AD$155,$P$12:$P$155,$AU18)</calculatedColumnFormula>
    </tableColumn>
    <tableColumn id="14" xr3:uid="{38FBAAD3-74A0-430C-9E41-649C06A4FDFA}" name="Jan-09" totalsRowFunction="sum" totalsRowDxfId="45">
      <calculatedColumnFormula>SUMIFS(AE$12:AE$155,$P$12:$P$155,$AU18)</calculatedColumnFormula>
    </tableColumn>
    <tableColumn id="15" xr3:uid="{4F6B0E1B-3583-41D9-A314-F56968A7FDC0}" name="Feb-09" totalsRowFunction="sum" totalsRowDxfId="44">
      <calculatedColumnFormula>SUMIFS(AF$12:AF$155,$P$12:$P$155,$AU18)</calculatedColumnFormula>
    </tableColumn>
    <tableColumn id="16" xr3:uid="{B1ADA4C1-7FC0-4BF1-91D2-D5A4D4123DD3}" name="Mar-09" totalsRowFunction="sum" totalsRowDxfId="43">
      <calculatedColumnFormula>SUMIFS(AG$12:AG$155,$P$12:$P$155,$AU18)</calculatedColumnFormula>
    </tableColumn>
    <tableColumn id="17" xr3:uid="{27AAEB0A-0E19-44C3-9151-F03611DD68E5}" name="Apr-09" totalsRowFunction="sum" totalsRowDxfId="42">
      <calculatedColumnFormula>SUMIFS(AH$12:AH$155,$P$12:$P$155,$AU18)</calculatedColumnFormula>
    </tableColumn>
    <tableColumn id="18" xr3:uid="{898DA681-74AC-480A-B8D9-03BF8FFB0E61}" name="May-09" totalsRowFunction="sum" totalsRowDxfId="41">
      <calculatedColumnFormula>SUMIFS(AI$12:AI$155,$P$12:$P$155,$AU18)</calculatedColumnFormula>
    </tableColumn>
    <tableColumn id="19" xr3:uid="{0589E2B3-1162-4E71-BE57-587FA25E92E5}" name="Jun-09" totalsRowFunction="sum" totalsRowDxfId="40">
      <calculatedColumnFormula>SUMIFS(AJ$12:AJ$155,$P$12:$P$155,$AU18)</calculatedColumnFormula>
    </tableColumn>
    <tableColumn id="20" xr3:uid="{207440CA-78C2-4ABD-8B9E-E4462DAD03A6}" name="Jul-09" totalsRowFunction="sum" totalsRowDxfId="39">
      <calculatedColumnFormula>SUMIFS(AK$12:AK$155,$P$12:$P$155,$AU18)</calculatedColumnFormula>
    </tableColumn>
    <tableColumn id="21" xr3:uid="{C7471C0E-2DC3-40D6-B5C8-08CC76EDE5B1}" name="Aug-09" totalsRowFunction="sum" totalsRowDxfId="38">
      <calculatedColumnFormula>SUMIFS(AL$12:AL$155,$P$12:$P$155,$AU18)</calculatedColumnFormula>
    </tableColumn>
    <tableColumn id="22" xr3:uid="{72567A31-D435-40A5-B943-762B48105958}" name="Sep-09" totalsRowFunction="sum" totalsRowDxfId="37">
      <calculatedColumnFormula>SUMIFS(AM$12:AM$155,$P$12:$P$155,$AU18)</calculatedColumnFormula>
    </tableColumn>
    <tableColumn id="23" xr3:uid="{FA8D3F3C-2BD9-405C-BF63-11E886A6DA4E}" name="Oct-09" totalsRowFunction="sum" totalsRowDxfId="36">
      <calculatedColumnFormula>SUMIFS(AN$12:AN$155,$P$12:$P$155,$AU18)</calculatedColumnFormula>
    </tableColumn>
    <tableColumn id="24" xr3:uid="{7D9D8DF8-E740-4C0E-A804-7B670A82451F}" name="Nov-09" totalsRowFunction="sum" totalsRowDxfId="35">
      <calculatedColumnFormula>SUMIFS(AO$12:AO$155,$P$12:$P$155,$AU18)</calculatedColumnFormula>
    </tableColumn>
    <tableColumn id="25" xr3:uid="{D274BBD8-325D-427E-B0E6-6673863C5DF6}" name="Dec-09" totalsRowFunction="sum" totalsRowDxfId="34">
      <calculatedColumnFormula>SUMIFS(AP$12:AP$155,$P$12:$P$155,$AU18)</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556DFA-E89F-4373-A2FB-068E4EA3710D}" name="Table2" displayName="Table2" ref="O11:AS155" totalsRowShown="0" headerRowDxfId="33" dataDxfId="32" tableBorderDxfId="31">
  <tableColumns count="31">
    <tableColumn id="1" xr3:uid="{706DBE6D-8167-4986-94CA-5B093346AA08}" name="Region" dataDxfId="30"/>
    <tableColumn id="2" xr3:uid="{F5D3C718-2F5D-49DA-A1EA-2CB06C21D914}" name="Product" dataDxfId="29"/>
    <tableColumn id="3" xr3:uid="{32F30918-F858-4D5E-8D7A-72E09D670826}" name="Customer Type" dataDxfId="28"/>
    <tableColumn id="4" xr3:uid="{7C2F8652-5C94-4E7C-B7D7-6AD5467844E7}" name="Sales Person - Name" dataDxfId="27"/>
    <tableColumn id="5" xr3:uid="{50227B88-FA0D-49AE-B556-5E80B523C8DF}" name="Jan-08" dataDxfId="26"/>
    <tableColumn id="6" xr3:uid="{B3C0D7A4-B004-4730-BC3B-0B1A94F66EE6}" name="Feb-08" dataDxfId="25"/>
    <tableColumn id="7" xr3:uid="{9BC87C8C-92A5-46FD-87F7-3808C581FB80}" name="Mar-08" dataDxfId="24"/>
    <tableColumn id="8" xr3:uid="{6B910007-38D8-4BBB-A2F4-28C6F88B6246}" name="Apr-08" dataDxfId="23"/>
    <tableColumn id="9" xr3:uid="{06F58322-BAF9-4E53-BAE3-ECFB4156AB66}" name="May-08" dataDxfId="22"/>
    <tableColumn id="10" xr3:uid="{3CC4DFD5-5315-4AED-A303-77F0DF855C21}" name="Jun-08" dataDxfId="21"/>
    <tableColumn id="11" xr3:uid="{51572DA0-06A2-4C19-927E-6C43D0E4E814}" name="Jul-08" dataDxfId="20"/>
    <tableColumn id="12" xr3:uid="{BAEC28DB-CA09-4BEE-A520-292CE830E0D4}" name="Aug-08" dataDxfId="19"/>
    <tableColumn id="13" xr3:uid="{59B1DC79-2AEA-48B8-9425-6702CE6318CA}" name="Sep-08" dataDxfId="18"/>
    <tableColumn id="14" xr3:uid="{AAB0C58E-9EAF-4C6F-96B7-07592CB9A57D}" name="Oct-08" dataDxfId="17"/>
    <tableColumn id="15" xr3:uid="{0AB5DDE5-078E-4048-B5E5-0E1F384CDAAA}" name="Nov-08" dataDxfId="16"/>
    <tableColumn id="16" xr3:uid="{AC8CF666-EA8D-402F-9F90-C2C2BD549E8B}" name="Dec-08" dataDxfId="15"/>
    <tableColumn id="17" xr3:uid="{B0E74DD3-F1F1-4413-BC5E-2F7480537ABE}" name="Jan-09" dataDxfId="14"/>
    <tableColumn id="18" xr3:uid="{0E46157E-BD5B-4843-919C-44A162811BAD}" name="Feb-09" dataDxfId="13"/>
    <tableColumn id="19" xr3:uid="{66FFBFFD-4EEF-4CAE-97B9-AD1C1A5E0B60}" name="Mar-09" dataDxfId="12"/>
    <tableColumn id="20" xr3:uid="{88DE23DE-D69B-4C05-BCE7-6E83A0344620}" name="Apr-09" dataDxfId="11"/>
    <tableColumn id="21" xr3:uid="{7829F04A-6519-4051-9A9A-B78F8A1FF8D3}" name="May-09" dataDxfId="10"/>
    <tableColumn id="22" xr3:uid="{4507E65A-9A05-42FD-B992-05ADC61B7B10}" name="Jun-09" dataDxfId="9"/>
    <tableColumn id="23" xr3:uid="{D008C61C-0040-49BB-9686-C7D5B166068C}" name="Jul-09" dataDxfId="8"/>
    <tableColumn id="24" xr3:uid="{48041D4A-3974-4D6B-8741-616C720FCABF}" name="Aug-09" dataDxfId="7"/>
    <tableColumn id="25" xr3:uid="{D71438D6-BB62-4CC0-9D63-1266E868D3A3}" name="Sep-09" dataDxfId="6"/>
    <tableColumn id="26" xr3:uid="{BF865ABC-EF47-46E5-96C5-B110EEA4717D}" name="Oct-09" dataDxfId="5"/>
    <tableColumn id="27" xr3:uid="{4555BDB2-FEE6-4ABE-BF44-2E65A7B17919}" name="Nov-09" dataDxfId="4"/>
    <tableColumn id="28" xr3:uid="{DDB20D6D-37EF-420D-B6A2-B610678B1FAD}" name="Dec-09" dataDxfId="3"/>
    <tableColumn id="29" xr3:uid="{5D892D7B-B825-4D04-9878-76F4B62DFF3E}" name="Sales 2008" dataDxfId="2">
      <calculatedColumnFormula>SUM(S12:AD12)</calculatedColumnFormula>
    </tableColumn>
    <tableColumn id="30" xr3:uid="{9FA28006-74DC-4DC4-868B-981508C1CAD8}" name="Sales 2009" dataDxfId="1">
      <calculatedColumnFormula>SUM(AE12:AP12)</calculatedColumnFormula>
    </tableColumn>
    <tableColumn id="31" xr3:uid="{D267B81C-84F7-4717-A3ED-F9CA3C990FB7}" name="Total" dataDxfId="0">
      <calculatedColumnFormula>AQ12+AR12</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7:H20"/>
  <sheetViews>
    <sheetView showGridLines="0" showRowColHeaders="0" workbookViewId="0">
      <selection activeCell="E14" sqref="E14"/>
    </sheetView>
  </sheetViews>
  <sheetFormatPr defaultRowHeight="14.4" x14ac:dyDescent="0.3"/>
  <cols>
    <col min="5" max="5" width="17.33203125" customWidth="1"/>
    <col min="6" max="6" width="19.109375" customWidth="1"/>
    <col min="7" max="7" width="24.6640625" customWidth="1"/>
  </cols>
  <sheetData>
    <row r="7" spans="4:8" ht="15" thickBot="1" x14ac:dyDescent="0.35"/>
    <row r="8" spans="4:8" ht="15" thickTop="1" x14ac:dyDescent="0.3">
      <c r="D8" s="4"/>
      <c r="E8" s="5"/>
      <c r="F8" s="5"/>
      <c r="G8" s="5"/>
      <c r="H8" s="6"/>
    </row>
    <row r="9" spans="4:8" x14ac:dyDescent="0.3">
      <c r="D9" s="7"/>
      <c r="E9" s="8"/>
      <c r="F9" s="8"/>
      <c r="G9" s="8"/>
      <c r="H9" s="9"/>
    </row>
    <row r="10" spans="4:8" x14ac:dyDescent="0.3">
      <c r="D10" s="7"/>
      <c r="E10" s="8"/>
      <c r="F10" s="8"/>
      <c r="G10" s="8"/>
      <c r="H10" s="9"/>
    </row>
    <row r="11" spans="4:8" x14ac:dyDescent="0.3">
      <c r="D11" s="7"/>
      <c r="E11" s="10" t="s">
        <v>71</v>
      </c>
      <c r="F11" s="10" t="s">
        <v>73</v>
      </c>
      <c r="G11" s="10" t="s">
        <v>72</v>
      </c>
      <c r="H11" s="9"/>
    </row>
    <row r="12" spans="4:8" x14ac:dyDescent="0.3">
      <c r="D12" s="7"/>
      <c r="E12" s="8"/>
      <c r="F12" s="8"/>
      <c r="G12" s="8"/>
      <c r="H12" s="9"/>
    </row>
    <row r="13" spans="4:8" x14ac:dyDescent="0.3">
      <c r="D13" s="7"/>
      <c r="E13" s="14" t="s">
        <v>37</v>
      </c>
      <c r="F13" s="15">
        <v>30</v>
      </c>
      <c r="G13" s="16">
        <v>20</v>
      </c>
      <c r="H13" s="9"/>
    </row>
    <row r="14" spans="4:8" x14ac:dyDescent="0.3">
      <c r="D14" s="7"/>
      <c r="E14" s="14" t="s">
        <v>36</v>
      </c>
      <c r="F14" s="15">
        <v>30</v>
      </c>
      <c r="G14" s="16">
        <v>20</v>
      </c>
      <c r="H14" s="9"/>
    </row>
    <row r="15" spans="4:8" x14ac:dyDescent="0.3">
      <c r="D15" s="7"/>
      <c r="E15" s="14" t="s">
        <v>70</v>
      </c>
      <c r="F15" s="15">
        <v>40</v>
      </c>
      <c r="G15" s="16">
        <v>30</v>
      </c>
      <c r="H15" s="9"/>
    </row>
    <row r="16" spans="4:8" x14ac:dyDescent="0.3">
      <c r="D16" s="7"/>
      <c r="E16" s="8"/>
      <c r="F16" s="8"/>
      <c r="G16" s="8"/>
      <c r="H16" s="9"/>
    </row>
    <row r="17" spans="4:8" x14ac:dyDescent="0.3">
      <c r="D17" s="7"/>
      <c r="E17" s="8"/>
      <c r="F17" s="8"/>
      <c r="G17" s="8"/>
      <c r="H17" s="9"/>
    </row>
    <row r="18" spans="4:8" x14ac:dyDescent="0.3">
      <c r="D18" s="7"/>
      <c r="E18" s="8"/>
      <c r="F18" s="8"/>
      <c r="G18" s="8"/>
      <c r="H18" s="9"/>
    </row>
    <row r="19" spans="4:8" ht="15" thickBot="1" x14ac:dyDescent="0.35">
      <c r="D19" s="11"/>
      <c r="E19" s="12"/>
      <c r="F19" s="12"/>
      <c r="G19" s="12"/>
      <c r="H19" s="13"/>
    </row>
    <row r="20" spans="4:8" ht="15" thickTop="1"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G50"/>
  <sheetViews>
    <sheetView showGridLines="0" tabSelected="1" workbookViewId="0">
      <selection sqref="A1:C1"/>
    </sheetView>
  </sheetViews>
  <sheetFormatPr defaultColWidth="0" defaultRowHeight="13.2" zeroHeight="1" x14ac:dyDescent="0.25"/>
  <cols>
    <col min="1" max="1" width="60.33203125" style="18" customWidth="1"/>
    <col min="2" max="2" width="79.44140625" style="18" bestFit="1" customWidth="1"/>
    <col min="3" max="3" width="13.33203125" style="18" customWidth="1"/>
    <col min="4" max="4" width="11.5546875" style="18" customWidth="1"/>
    <col min="5" max="5" width="17.88671875" style="18" bestFit="1" customWidth="1"/>
    <col min="6" max="6" width="13.6640625" style="18" customWidth="1"/>
    <col min="7" max="7" width="9.109375" style="18" customWidth="1"/>
    <col min="8" max="16384" width="9.109375" style="18" hidden="1"/>
  </cols>
  <sheetData>
    <row r="1" spans="1:7" ht="13.8" x14ac:dyDescent="0.3">
      <c r="A1" s="115" t="s">
        <v>76</v>
      </c>
      <c r="B1" s="115"/>
      <c r="C1" s="115"/>
    </row>
    <row r="2" spans="1:7" x14ac:dyDescent="0.25"/>
    <row r="3" spans="1:7" x14ac:dyDescent="0.25">
      <c r="A3" s="33" t="s">
        <v>84</v>
      </c>
      <c r="B3" s="34" t="s">
        <v>31</v>
      </c>
      <c r="C3" s="34" t="s">
        <v>83</v>
      </c>
    </row>
    <row r="4" spans="1:7" x14ac:dyDescent="0.25">
      <c r="A4" s="31" t="s">
        <v>87</v>
      </c>
      <c r="B4" s="31" t="s">
        <v>160</v>
      </c>
      <c r="C4" s="31">
        <v>1</v>
      </c>
    </row>
    <row r="5" spans="1:7" x14ac:dyDescent="0.25">
      <c r="A5" s="31" t="s">
        <v>85</v>
      </c>
      <c r="B5" s="31" t="s">
        <v>98</v>
      </c>
      <c r="C5" s="31">
        <v>1</v>
      </c>
    </row>
    <row r="6" spans="1:7" x14ac:dyDescent="0.25">
      <c r="A6" s="31" t="s">
        <v>88</v>
      </c>
      <c r="B6" s="31" t="s">
        <v>159</v>
      </c>
      <c r="C6" s="31">
        <v>1</v>
      </c>
    </row>
    <row r="7" spans="1:7" ht="26.4" x14ac:dyDescent="0.25">
      <c r="A7" s="52" t="s">
        <v>86</v>
      </c>
      <c r="B7" s="31" t="s">
        <v>158</v>
      </c>
      <c r="C7" s="31">
        <v>1</v>
      </c>
    </row>
    <row r="8" spans="1:7" x14ac:dyDescent="0.25">
      <c r="A8" s="31" t="s">
        <v>89</v>
      </c>
      <c r="B8" s="31" t="s">
        <v>101</v>
      </c>
      <c r="C8" s="31">
        <v>1</v>
      </c>
    </row>
    <row r="9" spans="1:7" x14ac:dyDescent="0.25">
      <c r="A9" s="26" t="s">
        <v>90</v>
      </c>
      <c r="B9" s="26"/>
      <c r="C9" s="28">
        <f>SUM(C4:C8)</f>
        <v>5</v>
      </c>
    </row>
    <row r="10" spans="1:7" x14ac:dyDescent="0.25"/>
    <row r="11" spans="1:7" ht="20.399999999999999" x14ac:dyDescent="0.35">
      <c r="A11" s="56" t="s">
        <v>29</v>
      </c>
      <c r="B11" s="17"/>
      <c r="C11" s="17"/>
      <c r="D11" s="17"/>
      <c r="E11" s="17"/>
      <c r="F11" s="17"/>
    </row>
    <row r="12" spans="1:7" ht="26.4" x14ac:dyDescent="0.25">
      <c r="A12" s="22" t="s">
        <v>0</v>
      </c>
      <c r="B12" s="22" t="s">
        <v>4</v>
      </c>
      <c r="C12" s="23" t="s">
        <v>19</v>
      </c>
      <c r="D12" s="23" t="s">
        <v>79</v>
      </c>
      <c r="E12" s="24" t="s">
        <v>93</v>
      </c>
      <c r="F12" s="24" t="s">
        <v>20</v>
      </c>
      <c r="G12" s="24" t="s">
        <v>161</v>
      </c>
    </row>
    <row r="13" spans="1:7" x14ac:dyDescent="0.25">
      <c r="A13" s="20" t="s">
        <v>13</v>
      </c>
      <c r="B13" s="29" t="s">
        <v>5</v>
      </c>
      <c r="C13" s="21">
        <v>70</v>
      </c>
      <c r="D13" s="21">
        <v>10</v>
      </c>
      <c r="E13" s="21">
        <v>800</v>
      </c>
      <c r="F13" s="21">
        <v>12013</v>
      </c>
      <c r="G13" s="18" t="str">
        <f>LEFT(F13,LEN(F13)-4)</f>
        <v>1</v>
      </c>
    </row>
    <row r="14" spans="1:7" x14ac:dyDescent="0.25">
      <c r="A14" s="20" t="s">
        <v>2</v>
      </c>
      <c r="B14" s="29" t="s">
        <v>5</v>
      </c>
      <c r="C14" s="21">
        <v>30</v>
      </c>
      <c r="D14" s="21">
        <v>7</v>
      </c>
      <c r="E14" s="21">
        <v>400</v>
      </c>
      <c r="F14" s="21">
        <v>12013</v>
      </c>
      <c r="G14" s="18" t="str">
        <f t="shared" ref="G14:G25" si="0">LEFT(F14,LEN(F14)-4)</f>
        <v>1</v>
      </c>
    </row>
    <row r="15" spans="1:7" x14ac:dyDescent="0.25">
      <c r="A15" s="20" t="s">
        <v>9</v>
      </c>
      <c r="B15" s="29" t="s">
        <v>16</v>
      </c>
      <c r="C15" s="21">
        <v>40</v>
      </c>
      <c r="D15" s="21">
        <v>5</v>
      </c>
      <c r="E15" s="21">
        <v>400</v>
      </c>
      <c r="F15" s="21">
        <v>32013</v>
      </c>
      <c r="G15" s="18" t="str">
        <f t="shared" si="0"/>
        <v>3</v>
      </c>
    </row>
    <row r="16" spans="1:7" x14ac:dyDescent="0.25">
      <c r="A16" s="20" t="s">
        <v>8</v>
      </c>
      <c r="B16" s="29" t="s">
        <v>16</v>
      </c>
      <c r="C16" s="21">
        <v>24</v>
      </c>
      <c r="D16" s="21">
        <v>3</v>
      </c>
      <c r="E16" s="21">
        <v>1200</v>
      </c>
      <c r="F16" s="21">
        <v>42013</v>
      </c>
      <c r="G16" s="18" t="str">
        <f t="shared" si="0"/>
        <v>4</v>
      </c>
    </row>
    <row r="17" spans="1:7" x14ac:dyDescent="0.25">
      <c r="A17" s="20" t="s">
        <v>3</v>
      </c>
      <c r="B17" s="29" t="s">
        <v>5</v>
      </c>
      <c r="C17" s="21">
        <v>20</v>
      </c>
      <c r="D17" s="21">
        <v>2</v>
      </c>
      <c r="E17" s="21">
        <v>2000</v>
      </c>
      <c r="F17" s="21">
        <v>12013</v>
      </c>
      <c r="G17" s="18" t="str">
        <f t="shared" si="0"/>
        <v>1</v>
      </c>
    </row>
    <row r="18" spans="1:7" x14ac:dyDescent="0.25">
      <c r="A18" s="20" t="s">
        <v>6</v>
      </c>
      <c r="B18" s="29" t="s">
        <v>16</v>
      </c>
      <c r="C18" s="21">
        <v>10</v>
      </c>
      <c r="D18" s="21">
        <v>1</v>
      </c>
      <c r="E18" s="21">
        <v>0</v>
      </c>
      <c r="F18" s="21">
        <v>52013</v>
      </c>
      <c r="G18" s="18" t="str">
        <f t="shared" si="0"/>
        <v>5</v>
      </c>
    </row>
    <row r="19" spans="1:7" x14ac:dyDescent="0.25">
      <c r="A19" s="20" t="s">
        <v>7</v>
      </c>
      <c r="B19" s="29" t="s">
        <v>16</v>
      </c>
      <c r="C19" s="21">
        <v>30</v>
      </c>
      <c r="D19" s="21">
        <v>1</v>
      </c>
      <c r="E19" s="21">
        <v>400</v>
      </c>
      <c r="F19" s="21">
        <v>52013</v>
      </c>
      <c r="G19" s="18" t="str">
        <f t="shared" si="0"/>
        <v>5</v>
      </c>
    </row>
    <row r="20" spans="1:7" x14ac:dyDescent="0.25">
      <c r="A20" s="20" t="s">
        <v>1</v>
      </c>
      <c r="B20" s="29" t="s">
        <v>16</v>
      </c>
      <c r="C20" s="21">
        <v>14</v>
      </c>
      <c r="D20" s="21">
        <v>1</v>
      </c>
      <c r="E20" s="21">
        <v>0</v>
      </c>
      <c r="F20" s="21">
        <v>72013</v>
      </c>
      <c r="G20" s="18" t="str">
        <f t="shared" si="0"/>
        <v>7</v>
      </c>
    </row>
    <row r="21" spans="1:7" x14ac:dyDescent="0.25">
      <c r="A21" s="20" t="s">
        <v>14</v>
      </c>
      <c r="B21" s="29" t="s">
        <v>16</v>
      </c>
      <c r="C21" s="21">
        <v>10</v>
      </c>
      <c r="D21" s="21">
        <v>1</v>
      </c>
      <c r="E21" s="21">
        <v>0</v>
      </c>
      <c r="F21" s="21">
        <v>12014</v>
      </c>
      <c r="G21" s="18" t="str">
        <f t="shared" si="0"/>
        <v>1</v>
      </c>
    </row>
    <row r="22" spans="1:7" x14ac:dyDescent="0.25">
      <c r="A22" s="20" t="s">
        <v>10</v>
      </c>
      <c r="B22" s="29" t="s">
        <v>16</v>
      </c>
      <c r="C22" s="21">
        <v>12</v>
      </c>
      <c r="D22" s="21">
        <v>0</v>
      </c>
      <c r="E22" s="21">
        <v>2800</v>
      </c>
      <c r="F22" s="21">
        <v>82013</v>
      </c>
      <c r="G22" s="18" t="str">
        <f t="shared" si="0"/>
        <v>8</v>
      </c>
    </row>
    <row r="23" spans="1:7" x14ac:dyDescent="0.25">
      <c r="A23" s="20" t="s">
        <v>11</v>
      </c>
      <c r="B23" s="29" t="s">
        <v>5</v>
      </c>
      <c r="C23" s="21">
        <v>10</v>
      </c>
      <c r="D23" s="21">
        <v>0</v>
      </c>
      <c r="E23" s="21">
        <v>4000</v>
      </c>
      <c r="F23" s="21">
        <v>92013</v>
      </c>
      <c r="G23" s="18" t="str">
        <f t="shared" si="0"/>
        <v>9</v>
      </c>
    </row>
    <row r="24" spans="1:7" x14ac:dyDescent="0.25">
      <c r="A24" s="20" t="s">
        <v>12</v>
      </c>
      <c r="B24" s="29" t="s">
        <v>5</v>
      </c>
      <c r="C24" s="21">
        <v>15</v>
      </c>
      <c r="D24" s="21">
        <v>0</v>
      </c>
      <c r="E24" s="21">
        <v>400</v>
      </c>
      <c r="F24" s="21">
        <v>92013</v>
      </c>
      <c r="G24" s="18" t="str">
        <f t="shared" si="0"/>
        <v>9</v>
      </c>
    </row>
    <row r="25" spans="1:7" x14ac:dyDescent="0.25">
      <c r="A25" s="20" t="s">
        <v>15</v>
      </c>
      <c r="B25" s="29" t="s">
        <v>16</v>
      </c>
      <c r="C25" s="21">
        <v>30</v>
      </c>
      <c r="D25" s="21">
        <v>0</v>
      </c>
      <c r="E25" s="21">
        <v>0</v>
      </c>
      <c r="F25" s="21">
        <v>122013</v>
      </c>
      <c r="G25" s="18" t="str">
        <f t="shared" si="0"/>
        <v>12</v>
      </c>
    </row>
    <row r="26" spans="1:7" x14ac:dyDescent="0.25"/>
    <row r="27" spans="1:7" x14ac:dyDescent="0.25"/>
    <row r="28" spans="1:7" x14ac:dyDescent="0.25">
      <c r="A28" s="28" t="s">
        <v>25</v>
      </c>
      <c r="B28" s="30" t="s">
        <v>92</v>
      </c>
      <c r="C28" s="28" t="s">
        <v>83</v>
      </c>
      <c r="D28" s="116" t="s">
        <v>91</v>
      </c>
      <c r="E28" s="117"/>
      <c r="F28" s="117"/>
      <c r="G28" s="117"/>
    </row>
    <row r="29" spans="1:7" x14ac:dyDescent="0.25">
      <c r="A29" s="25" t="s">
        <v>17</v>
      </c>
      <c r="B29" s="92">
        <f>COUNTIF(B13:B25,"M")</f>
        <v>8</v>
      </c>
      <c r="C29" s="31">
        <v>1</v>
      </c>
    </row>
    <row r="30" spans="1:7" x14ac:dyDescent="0.25">
      <c r="A30" s="25" t="s">
        <v>18</v>
      </c>
      <c r="B30" s="92">
        <f>COUNTIF(B13:B25,"F")</f>
        <v>5</v>
      </c>
      <c r="C30" s="31">
        <v>1</v>
      </c>
    </row>
    <row r="31" spans="1:7" x14ac:dyDescent="0.25">
      <c r="A31" s="25" t="s">
        <v>80</v>
      </c>
      <c r="B31" s="92">
        <f>SUMPRODUCT(D13:D25,E13:E25)/SUM(E13:E25)</f>
        <v>1.6774193548387097</v>
      </c>
      <c r="C31" s="31">
        <v>1</v>
      </c>
    </row>
    <row r="32" spans="1:7" x14ac:dyDescent="0.25">
      <c r="A32" s="25" t="s">
        <v>81</v>
      </c>
      <c r="B32" s="92">
        <f>SUMIF(F13:F25,"12013",E13:E25)</f>
        <v>3200</v>
      </c>
      <c r="C32" s="31">
        <v>1</v>
      </c>
      <c r="E32" s="24" t="s">
        <v>161</v>
      </c>
    </row>
    <row r="33" spans="1:6" x14ac:dyDescent="0.25">
      <c r="A33" s="25" t="s">
        <v>112</v>
      </c>
      <c r="B33" s="92">
        <f>SUMIF(F13:F25,"52013",E13:E25)</f>
        <v>400</v>
      </c>
      <c r="C33" s="31">
        <v>1</v>
      </c>
      <c r="E33" s="18">
        <v>9</v>
      </c>
    </row>
    <row r="34" spans="1:6" x14ac:dyDescent="0.25">
      <c r="A34" s="25" t="s">
        <v>21</v>
      </c>
      <c r="B34" s="92">
        <f>_xlfn.MAXIFS(E13:E25,G13:G25,E33)</f>
        <v>4000</v>
      </c>
      <c r="C34" s="31">
        <v>1</v>
      </c>
    </row>
    <row r="35" spans="1:6" x14ac:dyDescent="0.25">
      <c r="A35" s="25" t="s">
        <v>22</v>
      </c>
      <c r="B35" s="92">
        <f>AVERAGEIF(F13:F25,"12013",E13:E25)</f>
        <v>1066.6666666666667</v>
      </c>
      <c r="C35" s="31">
        <v>1</v>
      </c>
    </row>
    <row r="36" spans="1:6" x14ac:dyDescent="0.25">
      <c r="A36" s="25" t="s">
        <v>23</v>
      </c>
      <c r="B36" s="92" t="str">
        <f>INDEX(A12:F25,MATCH(2800,E12:E25,0),1)</f>
        <v>Willy</v>
      </c>
      <c r="C36" s="31">
        <v>1</v>
      </c>
    </row>
    <row r="37" spans="1:6" x14ac:dyDescent="0.25">
      <c r="A37" s="25" t="s">
        <v>24</v>
      </c>
      <c r="B37" s="92" cm="1">
        <f t="array" ref="B37">SUM(IF(LEFT(A13:A25,1)="J",E13:E25,"Not J"))</f>
        <v>400</v>
      </c>
      <c r="C37" s="31">
        <v>1</v>
      </c>
      <c r="E37" s="24"/>
      <c r="F37" s="22"/>
    </row>
    <row r="38" spans="1:6" x14ac:dyDescent="0.25">
      <c r="A38" s="25" t="s">
        <v>30</v>
      </c>
      <c r="B38" s="92">
        <f>COUNTIFS(A13:A25,"Stu",F13:F25,"122013")</f>
        <v>1</v>
      </c>
      <c r="C38" s="31">
        <v>2</v>
      </c>
      <c r="E38" s="84"/>
    </row>
    <row r="39" spans="1:6" x14ac:dyDescent="0.25">
      <c r="A39" s="25" t="s">
        <v>33</v>
      </c>
      <c r="B39" s="92" t="str">
        <f>INDEX(A13:A25,MATCH(LARGE(D13:D25,3),D13:D25,0))</f>
        <v>Lewis</v>
      </c>
      <c r="C39" s="31">
        <v>2</v>
      </c>
    </row>
    <row r="40" spans="1:6" x14ac:dyDescent="0.25">
      <c r="A40" s="25" t="s">
        <v>82</v>
      </c>
      <c r="B40" s="92"/>
      <c r="C40" s="31">
        <v>2</v>
      </c>
    </row>
    <row r="41" spans="1:6" x14ac:dyDescent="0.25">
      <c r="A41" s="25" t="s">
        <v>35</v>
      </c>
      <c r="B41" s="92" t="str" cm="1">
        <f t="array" ref="B41">_xlfn.LET(_xlpm.year13,RIGHT(F13:F25,2)="13",_xlfn.ARRAYTOTEXT(INDEX(A13:A25,MATCH(LARGE(IF(_xlpm.year13,E13:E25,0),{1,2,3,4,5}),E13:E25,0))))</f>
        <v>Sarah, Willy, Annie, Tommy, Cara</v>
      </c>
      <c r="C41" s="31">
        <v>2</v>
      </c>
    </row>
    <row r="42" spans="1:6" x14ac:dyDescent="0.25">
      <c r="A42" s="25" t="s">
        <v>34</v>
      </c>
      <c r="B42" s="92" t="str" cm="1">
        <f t="array" ref="B42">_xlfn.LET(_xlpm.year13,RIGHT(F13:F25,2)="13",_xlpm.female,B13:B25="F",_xlfn.ARRAYTOTEXT(INDEX(A13:A25,MATCH(LARGE(IF(_xlpm.year13,IF(_xlpm.female,E13:E25,0),0),{1,2}),E13:E25,0))))</f>
        <v>Sarah, Annie</v>
      </c>
      <c r="C42" s="31">
        <v>2</v>
      </c>
    </row>
    <row r="43" spans="1:6" ht="26.4" x14ac:dyDescent="0.25">
      <c r="A43" s="32" t="s">
        <v>116</v>
      </c>
      <c r="B43" s="92" t="str">
        <f>"Top Overall Sales made in 2013 is "&amp;MAX(E13:E25)&amp;" by "&amp;COUNTA(A13:A25)&amp;" sales person, out of which "&amp;B30&amp;" are female and "&amp;B29&amp;" male"</f>
        <v>Top Overall Sales made in 2013 is 4000 by 13 sales person, out of which 5 are female and 8 male</v>
      </c>
      <c r="C43" s="31">
        <v>3</v>
      </c>
    </row>
    <row r="44" spans="1:6" x14ac:dyDescent="0.25">
      <c r="A44" s="26" t="s">
        <v>90</v>
      </c>
      <c r="B44" s="27"/>
      <c r="C44" s="28">
        <f>SUM(C29:C43)</f>
        <v>22</v>
      </c>
    </row>
    <row r="45" spans="1:6" x14ac:dyDescent="0.25">
      <c r="C45" s="19"/>
      <c r="E45" s="85"/>
    </row>
    <row r="46" spans="1:6" ht="13.8" x14ac:dyDescent="0.3">
      <c r="A46" s="51" t="s">
        <v>48</v>
      </c>
      <c r="B46" s="25">
        <f>DATEDIF("31/3/2013","1/1/2014","d")</f>
        <v>276</v>
      </c>
      <c r="C46" s="31">
        <v>1</v>
      </c>
      <c r="E46" s="85"/>
    </row>
    <row r="47" spans="1:6" ht="13.8" x14ac:dyDescent="0.3">
      <c r="A47" s="51" t="s">
        <v>49</v>
      </c>
      <c r="B47" s="25">
        <f ca="1">DATEDIF("15/8/1947",TODAY(),"y")</f>
        <v>74</v>
      </c>
      <c r="C47" s="31">
        <v>1</v>
      </c>
      <c r="E47" s="85"/>
      <c r="F47" s="85"/>
    </row>
    <row r="48" spans="1:6" ht="13.8" x14ac:dyDescent="0.3">
      <c r="A48" s="51" t="s">
        <v>50</v>
      </c>
      <c r="B48" s="25">
        <f ca="1">DATEDIF("14/4/2011",TODAY(),"m")</f>
        <v>130</v>
      </c>
      <c r="C48" s="31">
        <v>1</v>
      </c>
    </row>
    <row r="49" spans="1:3" x14ac:dyDescent="0.25">
      <c r="A49" s="26" t="s">
        <v>90</v>
      </c>
      <c r="B49" s="27"/>
      <c r="C49" s="28">
        <f>SUM(C46:C48)</f>
        <v>3</v>
      </c>
    </row>
    <row r="50" spans="1:3" x14ac:dyDescent="0.25"/>
  </sheetData>
  <mergeCells count="2">
    <mergeCell ref="A1:C1"/>
    <mergeCell ref="D28:G28"/>
  </mergeCells>
  <pageMargins left="0.7" right="0.7" top="0.75" bottom="0.75" header="0.3" footer="0.3"/>
  <pageSetup scale="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4</xdr:col>
                    <xdr:colOff>198120</xdr:colOff>
                    <xdr:row>1</xdr:row>
                    <xdr:rowOff>45720</xdr:rowOff>
                  </from>
                  <to>
                    <xdr:col>4</xdr:col>
                    <xdr:colOff>1150620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D149"/>
  <sheetViews>
    <sheetView showGridLines="0" workbookViewId="0">
      <selection sqref="A1:C1"/>
    </sheetView>
  </sheetViews>
  <sheetFormatPr defaultColWidth="0" defaultRowHeight="13.2" zeroHeight="1" x14ac:dyDescent="0.25"/>
  <cols>
    <col min="1" max="1" width="9.109375" style="18" customWidth="1"/>
    <col min="2" max="2" width="12.5546875" style="18" bestFit="1" customWidth="1"/>
    <col min="3" max="3" width="18.21875" style="18" bestFit="1" customWidth="1"/>
    <col min="4" max="4" width="20.88671875" style="18" bestFit="1" customWidth="1"/>
    <col min="5" max="5" width="20.33203125" style="18" bestFit="1" customWidth="1"/>
    <col min="6" max="6" width="22.109375" style="18" customWidth="1"/>
    <col min="7" max="7" width="20.44140625" style="18" customWidth="1"/>
    <col min="8" max="8" width="10.109375" style="18" customWidth="1"/>
    <col min="9" max="9" width="6.44140625" style="18" customWidth="1"/>
    <col min="10" max="10" width="12.44140625" style="18" customWidth="1"/>
    <col min="11" max="11" width="9.5546875" style="18" customWidth="1"/>
    <col min="12" max="12" width="10.88671875" style="18" customWidth="1"/>
    <col min="13" max="13" width="11.109375" style="18" customWidth="1"/>
    <col min="14" max="14" width="22.109375" style="18" customWidth="1"/>
    <col min="15" max="15" width="20.44140625" style="18" customWidth="1"/>
    <col min="16" max="16384" width="9.109375" style="18" hidden="1"/>
  </cols>
  <sheetData>
    <row r="1" spans="1:11" ht="13.8" x14ac:dyDescent="0.3">
      <c r="A1" s="115" t="s">
        <v>77</v>
      </c>
      <c r="B1" s="115"/>
      <c r="C1" s="115"/>
    </row>
    <row r="2" spans="1:11" x14ac:dyDescent="0.25"/>
    <row r="3" spans="1:11" ht="20.399999999999999" x14ac:dyDescent="0.35">
      <c r="B3" s="56" t="s">
        <v>29</v>
      </c>
      <c r="C3" s="17"/>
      <c r="D3" s="17"/>
      <c r="E3" s="17"/>
      <c r="F3" s="17"/>
      <c r="G3" s="17"/>
    </row>
    <row r="4" spans="1:11" ht="26.4" x14ac:dyDescent="0.25">
      <c r="B4" s="22" t="s">
        <v>0</v>
      </c>
      <c r="C4" s="22" t="s">
        <v>4</v>
      </c>
      <c r="D4" s="23" t="s">
        <v>19</v>
      </c>
      <c r="E4" s="23" t="s">
        <v>79</v>
      </c>
      <c r="F4" s="24" t="s">
        <v>93</v>
      </c>
      <c r="G4" s="24" t="s">
        <v>20</v>
      </c>
      <c r="H4" s="24" t="s">
        <v>150</v>
      </c>
      <c r="I4" s="100"/>
      <c r="J4" s="98" t="s">
        <v>150</v>
      </c>
      <c r="K4" s="98" t="s">
        <v>93</v>
      </c>
    </row>
    <row r="5" spans="1:11" x14ac:dyDescent="0.25">
      <c r="B5" s="20" t="s">
        <v>13</v>
      </c>
      <c r="C5" s="29" t="s">
        <v>5</v>
      </c>
      <c r="D5" s="21">
        <v>70</v>
      </c>
      <c r="E5" s="21">
        <v>10</v>
      </c>
      <c r="F5" s="21">
        <v>800</v>
      </c>
      <c r="G5" s="31">
        <v>12013</v>
      </c>
      <c r="H5" s="25" t="str">
        <f>LEFT(G5,LEN(G5)-4)</f>
        <v>1</v>
      </c>
      <c r="J5" s="105">
        <v>1</v>
      </c>
      <c r="K5" s="99">
        <f>SUMIF($H$5:$H$17,J5,$F$5:$F$17)</f>
        <v>3200</v>
      </c>
    </row>
    <row r="6" spans="1:11" x14ac:dyDescent="0.25">
      <c r="B6" s="20" t="s">
        <v>2</v>
      </c>
      <c r="C6" s="29" t="s">
        <v>16</v>
      </c>
      <c r="D6" s="21">
        <v>30</v>
      </c>
      <c r="E6" s="21">
        <v>7</v>
      </c>
      <c r="F6" s="21">
        <v>400</v>
      </c>
      <c r="G6" s="21">
        <v>12013</v>
      </c>
      <c r="H6" s="25" t="str">
        <f t="shared" ref="H6:H17" si="0">LEFT(G6,LEN(G6)-4)</f>
        <v>1</v>
      </c>
      <c r="J6" s="105">
        <v>3</v>
      </c>
      <c r="K6" s="99">
        <f t="shared" ref="K6:K11" si="1">SUMIF($H$5:$H$17,J6,$F$5:$F$17)</f>
        <v>400</v>
      </c>
    </row>
    <row r="7" spans="1:11" x14ac:dyDescent="0.25">
      <c r="B7" s="20" t="s">
        <v>3</v>
      </c>
      <c r="C7" s="29" t="s">
        <v>5</v>
      </c>
      <c r="D7" s="21">
        <v>20</v>
      </c>
      <c r="E7" s="21">
        <v>2</v>
      </c>
      <c r="F7" s="21">
        <v>2000</v>
      </c>
      <c r="G7" s="21">
        <v>12013</v>
      </c>
      <c r="H7" s="25" t="str">
        <f t="shared" si="0"/>
        <v>1</v>
      </c>
      <c r="J7" s="105">
        <v>4</v>
      </c>
      <c r="K7" s="99">
        <f t="shared" si="1"/>
        <v>1200</v>
      </c>
    </row>
    <row r="8" spans="1:11" x14ac:dyDescent="0.25">
      <c r="B8" s="20" t="s">
        <v>15</v>
      </c>
      <c r="C8" s="29" t="s">
        <v>16</v>
      </c>
      <c r="D8" s="21">
        <v>30</v>
      </c>
      <c r="E8" s="21">
        <v>0</v>
      </c>
      <c r="F8" s="21">
        <v>0</v>
      </c>
      <c r="G8" s="21">
        <v>12013</v>
      </c>
      <c r="H8" s="25" t="str">
        <f t="shared" si="0"/>
        <v>1</v>
      </c>
      <c r="J8" s="105">
        <v>5</v>
      </c>
      <c r="K8" s="99">
        <f t="shared" si="1"/>
        <v>400</v>
      </c>
    </row>
    <row r="9" spans="1:11" x14ac:dyDescent="0.25">
      <c r="B9" s="20" t="s">
        <v>14</v>
      </c>
      <c r="C9" s="29" t="s">
        <v>16</v>
      </c>
      <c r="D9" s="21">
        <v>10</v>
      </c>
      <c r="E9" s="21">
        <v>1</v>
      </c>
      <c r="F9" s="21">
        <v>0</v>
      </c>
      <c r="G9" s="21">
        <v>12014</v>
      </c>
      <c r="H9" s="25" t="str">
        <f t="shared" si="0"/>
        <v>1</v>
      </c>
      <c r="J9" s="105">
        <v>7</v>
      </c>
      <c r="K9" s="99">
        <f t="shared" si="1"/>
        <v>0</v>
      </c>
    </row>
    <row r="10" spans="1:11" x14ac:dyDescent="0.25">
      <c r="B10" s="20" t="s">
        <v>9</v>
      </c>
      <c r="C10" s="29" t="s">
        <v>16</v>
      </c>
      <c r="D10" s="21">
        <v>40</v>
      </c>
      <c r="E10" s="21">
        <v>5</v>
      </c>
      <c r="F10" s="21">
        <v>400</v>
      </c>
      <c r="G10" s="21">
        <v>32013</v>
      </c>
      <c r="H10" s="25" t="str">
        <f t="shared" si="0"/>
        <v>3</v>
      </c>
      <c r="J10" s="105">
        <v>8</v>
      </c>
      <c r="K10" s="99">
        <f t="shared" si="1"/>
        <v>2800</v>
      </c>
    </row>
    <row r="11" spans="1:11" x14ac:dyDescent="0.25">
      <c r="B11" s="20" t="s">
        <v>8</v>
      </c>
      <c r="C11" s="29" t="s">
        <v>16</v>
      </c>
      <c r="D11" s="21">
        <v>24</v>
      </c>
      <c r="E11" s="21">
        <v>3</v>
      </c>
      <c r="F11" s="21">
        <v>1200</v>
      </c>
      <c r="G11" s="21">
        <v>42013</v>
      </c>
      <c r="H11" s="25" t="str">
        <f t="shared" si="0"/>
        <v>4</v>
      </c>
      <c r="J11" s="105">
        <v>9</v>
      </c>
      <c r="K11" s="99">
        <f t="shared" si="1"/>
        <v>4400</v>
      </c>
    </row>
    <row r="12" spans="1:11" ht="14.4" x14ac:dyDescent="0.3">
      <c r="B12" s="20" t="s">
        <v>6</v>
      </c>
      <c r="C12" s="29" t="s">
        <v>16</v>
      </c>
      <c r="D12" s="21">
        <v>10</v>
      </c>
      <c r="E12" s="21">
        <v>1</v>
      </c>
      <c r="F12" s="21">
        <v>0</v>
      </c>
      <c r="G12" s="21">
        <v>52013</v>
      </c>
      <c r="H12" s="25" t="str">
        <f t="shared" si="0"/>
        <v>5</v>
      </c>
      <c r="I12"/>
      <c r="J12" s="84"/>
    </row>
    <row r="13" spans="1:11" ht="14.4" x14ac:dyDescent="0.3">
      <c r="B13" s="20" t="s">
        <v>7</v>
      </c>
      <c r="C13" s="29" t="s">
        <v>16</v>
      </c>
      <c r="D13" s="21">
        <v>30</v>
      </c>
      <c r="E13" s="21">
        <v>1</v>
      </c>
      <c r="F13" s="21">
        <v>400</v>
      </c>
      <c r="G13" s="21">
        <v>52013</v>
      </c>
      <c r="H13" s="25" t="str">
        <f t="shared" si="0"/>
        <v>5</v>
      </c>
      <c r="I13"/>
      <c r="J13" s="84"/>
    </row>
    <row r="14" spans="1:11" ht="14.4" x14ac:dyDescent="0.3">
      <c r="B14" s="20" t="s">
        <v>1</v>
      </c>
      <c r="C14" s="29" t="s">
        <v>16</v>
      </c>
      <c r="D14" s="21">
        <v>14</v>
      </c>
      <c r="E14" s="21">
        <v>1</v>
      </c>
      <c r="F14" s="21">
        <v>0</v>
      </c>
      <c r="G14" s="21">
        <v>72013</v>
      </c>
      <c r="H14" s="25" t="str">
        <f t="shared" si="0"/>
        <v>7</v>
      </c>
      <c r="I14"/>
      <c r="J14" s="84"/>
    </row>
    <row r="15" spans="1:11" ht="14.4" x14ac:dyDescent="0.3">
      <c r="B15" s="20" t="s">
        <v>10</v>
      </c>
      <c r="C15" s="29" t="s">
        <v>16</v>
      </c>
      <c r="D15" s="21">
        <v>12</v>
      </c>
      <c r="E15" s="21">
        <v>0</v>
      </c>
      <c r="F15" s="21">
        <v>2800</v>
      </c>
      <c r="G15" s="21">
        <v>82013</v>
      </c>
      <c r="H15" s="25" t="str">
        <f t="shared" si="0"/>
        <v>8</v>
      </c>
      <c r="I15"/>
      <c r="J15" s="84"/>
    </row>
    <row r="16" spans="1:11" ht="14.4" x14ac:dyDescent="0.3">
      <c r="B16" s="20" t="s">
        <v>11</v>
      </c>
      <c r="C16" s="29" t="s">
        <v>5</v>
      </c>
      <c r="D16" s="21">
        <v>10</v>
      </c>
      <c r="E16" s="21">
        <v>0</v>
      </c>
      <c r="F16" s="21">
        <v>4000</v>
      </c>
      <c r="G16" s="21">
        <v>92013</v>
      </c>
      <c r="H16" s="25" t="str">
        <f t="shared" si="0"/>
        <v>9</v>
      </c>
      <c r="I16"/>
      <c r="J16" s="84"/>
    </row>
    <row r="17" spans="2:15" ht="14.4" x14ac:dyDescent="0.3">
      <c r="B17" s="20" t="s">
        <v>12</v>
      </c>
      <c r="C17" s="29" t="s">
        <v>16</v>
      </c>
      <c r="D17" s="21">
        <v>15</v>
      </c>
      <c r="E17" s="21">
        <v>0</v>
      </c>
      <c r="F17" s="21">
        <v>400</v>
      </c>
      <c r="G17" s="21">
        <v>92013</v>
      </c>
      <c r="H17" s="25" t="str">
        <f t="shared" si="0"/>
        <v>9</v>
      </c>
      <c r="I17"/>
      <c r="J17" s="84"/>
    </row>
    <row r="18" spans="2:15" ht="13.8" thickBot="1" x14ac:dyDescent="0.3"/>
    <row r="19" spans="2:15" ht="14.4" thickBot="1" x14ac:dyDescent="0.35">
      <c r="B19" s="50" t="s">
        <v>96</v>
      </c>
      <c r="C19" s="53" t="s">
        <v>83</v>
      </c>
      <c r="D19" s="54">
        <v>5</v>
      </c>
    </row>
    <row r="20" spans="2:15" x14ac:dyDescent="0.25"/>
    <row r="21" spans="2:15" x14ac:dyDescent="0.25">
      <c r="B21" s="49" t="s">
        <v>106</v>
      </c>
      <c r="C21" s="49"/>
      <c r="D21" s="49"/>
      <c r="E21" s="49"/>
      <c r="F21" s="35"/>
      <c r="G21" s="35"/>
      <c r="H21" s="35"/>
      <c r="I21" s="35"/>
      <c r="J21" s="35"/>
      <c r="K21" s="35"/>
      <c r="L21" s="35"/>
      <c r="M21" s="35"/>
      <c r="N21" s="35"/>
    </row>
    <row r="22" spans="2:15" ht="20.399999999999999" x14ac:dyDescent="0.35">
      <c r="B22" s="56" t="s">
        <v>32</v>
      </c>
      <c r="C22" s="83">
        <v>12013</v>
      </c>
      <c r="D22" s="83">
        <v>22013</v>
      </c>
      <c r="E22" s="83">
        <v>32013</v>
      </c>
      <c r="F22" s="83">
        <v>42013</v>
      </c>
      <c r="G22" s="83">
        <v>52013</v>
      </c>
      <c r="H22" s="83">
        <v>62013</v>
      </c>
      <c r="I22" s="83">
        <v>72013</v>
      </c>
      <c r="J22" s="83">
        <v>82013</v>
      </c>
      <c r="K22" s="83">
        <v>92013</v>
      </c>
      <c r="L22" s="83">
        <v>102013</v>
      </c>
      <c r="M22" s="83">
        <v>112013</v>
      </c>
      <c r="N22" s="83">
        <v>122013</v>
      </c>
    </row>
    <row r="23" spans="2:15" x14ac:dyDescent="0.25">
      <c r="B23" s="37" t="s">
        <v>19</v>
      </c>
      <c r="C23" s="86" cm="1">
        <f t="array" ref="C23">_xlfn.LET(_xlpm.available,IF($G$5:$G$17=C22,1,0),IF(SUM(_xlpm.available)&lt;&gt;0,SUM(IF(_xlpm.available,$D$5:$D$17,0)),"-"))</f>
        <v>150</v>
      </c>
      <c r="D23" s="86" t="str" cm="1">
        <f t="array" ref="D23">_xlfn.LET(_xlpm.available,IF($G$5:$G$17=D22,1,0),IF(SUM(_xlpm.available)&lt;&gt;0,SUM(IF(_xlpm.available,$D$5:$D$17,0)),"-"))</f>
        <v>-</v>
      </c>
      <c r="E23" s="86" cm="1">
        <f t="array" ref="E23">_xlfn.LET(_xlpm.available,IF($G$5:$G$17=E22,1,0),IF(SUM(_xlpm.available)&lt;&gt;0,SUM(IF(_xlpm.available,$D$5:$D$17,0)),"-"))</f>
        <v>40</v>
      </c>
      <c r="F23" s="86" cm="1">
        <f t="array" ref="F23">_xlfn.LET(_xlpm.available,IF($G$5:$G$17=F22,1,0),IF(SUM(_xlpm.available)&lt;&gt;0,SUM(IF(_xlpm.available,$D$5:$D$17,0)),"-"))</f>
        <v>24</v>
      </c>
      <c r="G23" s="86" cm="1">
        <f t="array" ref="G23">_xlfn.LET(_xlpm.available,IF($G$5:$G$17=G22,1,0),IF(SUM(_xlpm.available)&lt;&gt;0,SUM(IF(_xlpm.available,$D$5:$D$17,0)),"-"))</f>
        <v>40</v>
      </c>
      <c r="H23" s="86" t="str" cm="1">
        <f t="array" ref="H23">_xlfn.LET(_xlpm.available,IF($G$5:$G$17=H22,1,0),IF(SUM(_xlpm.available)&lt;&gt;0,SUM(IF(_xlpm.available,$D$5:$D$17,0)),"-"))</f>
        <v>-</v>
      </c>
      <c r="I23" s="86" cm="1">
        <f t="array" ref="I23">_xlfn.LET(_xlpm.available,IF($G$5:$G$17=I22,1,0),IF(SUM(_xlpm.available)&lt;&gt;0,SUM(IF(_xlpm.available,$D$5:$D$17,0)),"-"))</f>
        <v>14</v>
      </c>
      <c r="J23" s="86" cm="1">
        <f t="array" ref="J23">_xlfn.LET(_xlpm.available,IF($G$5:$G$17=J22,1,0),IF(SUM(_xlpm.available)&lt;&gt;0,SUM(IF(_xlpm.available,$D$5:$D$17,0)),"-"))</f>
        <v>12</v>
      </c>
      <c r="K23" s="86" cm="1">
        <f t="array" ref="K23">_xlfn.LET(_xlpm.available,IF($G$5:$G$17=K22,1,0),IF(SUM(_xlpm.available)&lt;&gt;0,SUM(IF(_xlpm.available,$D$5:$D$17,0)),"-"))</f>
        <v>25</v>
      </c>
      <c r="L23" s="86" t="str" cm="1">
        <f t="array" ref="L23">_xlfn.LET(_xlpm.available,IF($G$5:$G$17=L22,1,0),IF(SUM(_xlpm.available)&lt;&gt;0,SUM(IF(_xlpm.available,$D$5:$D$17,0)),"-"))</f>
        <v>-</v>
      </c>
      <c r="M23" s="86" t="str" cm="1">
        <f t="array" ref="M23">_xlfn.LET(_xlpm.available,IF($G$5:$G$17=M22,1,0),IF(SUM(_xlpm.available)&lt;&gt;0,SUM(IF(_xlpm.available,$D$5:$D$17,0)),"-"))</f>
        <v>-</v>
      </c>
      <c r="N23" s="86" t="str" cm="1">
        <f t="array" ref="N23">_xlfn.LET(_xlpm.available,IF($G$5:$G$17=N22,1,0),IF(SUM(_xlpm.available)&lt;&gt;0,SUM(IF(_xlpm.available,$D$5:$D$17,0)),"-"))</f>
        <v>-</v>
      </c>
      <c r="O23" s="35"/>
    </row>
    <row r="24" spans="2:15" ht="52.8" x14ac:dyDescent="0.25">
      <c r="B24" s="38" t="s">
        <v>107</v>
      </c>
      <c r="C24" s="102" cm="1">
        <f t="array" ref="C24">IF(OR($G$5:$G$17=C22),SUMIFS($F$5:$F$17,$C$5:$C$17,"m",$G$5:$G$17,C$22)/SUMIF($C$5:$C$17,"M",$F$5:$F$17),"-")</f>
        <v>7.1428571428571425E-2</v>
      </c>
      <c r="D24" s="102" t="str" cm="1">
        <f t="array" ref="D24">IF(OR($G$5:$G$17=D22),SUMIFS($F$5:$F$17,$C$5:$C$17,"m",$G$5:$G$17,D$22)/SUMIF($C$5:$C$17,"M",$F$5:$F$17),"-")</f>
        <v>-</v>
      </c>
      <c r="E24" s="102" cm="1">
        <f t="array" ref="E24">IF(OR($G$5:$G$17=E22),SUMIFS($F$5:$F$17,$C$5:$C$17,"m",$G$5:$G$17,E$22)/SUMIF($C$5:$C$17,"M",$F$5:$F$17),"-")</f>
        <v>7.1428571428571425E-2</v>
      </c>
      <c r="F24" s="102" cm="1">
        <f t="array" ref="F24">IF(OR($G$5:$G$17=F22),SUMIFS($F$5:$F$17,$C$5:$C$17,"m",$G$5:$G$17,F$22)/SUMIF($C$5:$C$17,"M",$F$5:$F$17),"-")</f>
        <v>0.21428571428571427</v>
      </c>
      <c r="G24" s="102" cm="1">
        <f t="array" ref="G24">IF(OR($G$5:$G$17=G22),SUMIFS($F$5:$F$17,$C$5:$C$17,"m",$G$5:$G$17,G$22)/SUMIF($C$5:$C$17,"M",$F$5:$F$17),"-")</f>
        <v>7.1428571428571425E-2</v>
      </c>
      <c r="H24" s="102" t="str" cm="1">
        <f t="array" ref="H24">IF(OR($G$5:$G$17=H22),SUMIFS($F$5:$F$17,$C$5:$C$17,"m",$G$5:$G$17,H$22)/SUMIF($C$5:$C$17,"M",$F$5:$F$17),"-")</f>
        <v>-</v>
      </c>
      <c r="I24" s="102" cm="1">
        <f t="array" ref="I24">IF(OR($G$5:$G$17=I22),SUMIFS($F$5:$F$17,$C$5:$C$17,"m",$G$5:$G$17,I$22)/SUMIF($C$5:$C$17,"M",$F$5:$F$17),"-")</f>
        <v>0</v>
      </c>
      <c r="J24" s="102" cm="1">
        <f t="array" ref="J24">IF(OR($G$5:$G$17=J22),SUMIFS($F$5:$F$17,$C$5:$C$17,"m",$G$5:$G$17,J$22)/SUMIF($C$5:$C$17,"M",$F$5:$F$17),"-")</f>
        <v>0.5</v>
      </c>
      <c r="K24" s="102" cm="1">
        <f t="array" ref="K24">IF(OR($G$5:$G$17=K22),SUMIFS($F$5:$F$17,$C$5:$C$17,"m",$G$5:$G$17,K$22)/SUMIF($C$5:$C$17,"M",$F$5:$F$17),"-")</f>
        <v>7.1428571428571425E-2</v>
      </c>
      <c r="L24" s="102" t="str" cm="1">
        <f t="array" ref="L24">IF(OR($G$5:$G$17=L22),SUMIFS($F$5:$F$17,$C$5:$C$17,"m",$G$5:$G$17,L$22)/SUMIF($C$5:$C$17,"M",$F$5:$F$17),"-")</f>
        <v>-</v>
      </c>
      <c r="M24" s="102" t="str" cm="1">
        <f t="array" ref="M24">IF(OR($G$5:$G$17=M22),SUMIFS($F$5:$F$17,$C$5:$C$17,"m",$G$5:$G$17,M$22)/SUMIF($C$5:$C$17,"M",$F$5:$F$17),"-")</f>
        <v>-</v>
      </c>
      <c r="N24" s="102" t="str" cm="1">
        <f t="array" ref="N24">IF(OR($G$5:$G$17=N22),SUMIFS($F$5:$F$17,$C$5:$C$17,"m",$G$5:$G$17,N$22)/SUMIF($C$5:$C$17,"M",$F$5:$F$17),"-")</f>
        <v>-</v>
      </c>
      <c r="O24" s="35"/>
    </row>
    <row r="25" spans="2:15" x14ac:dyDescent="0.25">
      <c r="B25" s="37" t="s">
        <v>110</v>
      </c>
      <c r="C25" s="86" cm="1">
        <f t="array" ref="C25">IF(OR($H$5:$H$17=LEFT(C22,LEN(C22)-4)),MAX(IF($H$5:$H$17=LEFT(C22,LEN(C22)-4),$F$5:$F$17,0)),"-")</f>
        <v>2000</v>
      </c>
      <c r="D25" s="86" t="str" cm="1">
        <f t="array" ref="D25">IF(OR($H$5:$H$17=LEFT(D22,LEN(D22)-4)),MAX(IF($H$5:$H$17=LEFT(D22,LEN(D22)-4),$F$5:$F$17,0)),"-")</f>
        <v>-</v>
      </c>
      <c r="E25" s="86" cm="1">
        <f t="array" ref="E25">IF(OR($H$5:$H$17=LEFT(E22,LEN(E22)-4)),MAX(IF($H$5:$H$17=LEFT(E22,LEN(E22)-4),$F$5:$F$17,0)),"-")</f>
        <v>400</v>
      </c>
      <c r="F25" s="86" cm="1">
        <f t="array" ref="F25">IF(OR($H$5:$H$17=LEFT(F22,LEN(F22)-4)),MAX(IF($H$5:$H$17=LEFT(F22,LEN(F22)-4),$F$5:$F$17,0)),"-")</f>
        <v>1200</v>
      </c>
      <c r="G25" s="86" cm="1">
        <f t="array" ref="G25">IF(OR($H$5:$H$17=LEFT(G22,LEN(G22)-4)),MAX(IF($H$5:$H$17=LEFT(G22,LEN(G22)-4),$F$5:$F$17,0)),"-")</f>
        <v>400</v>
      </c>
      <c r="H25" s="86" t="str" cm="1">
        <f t="array" ref="H25">IF(OR($H$5:$H$17=LEFT(H22,LEN(H22)-4)),MAX(IF($H$5:$H$17=LEFT(H22,LEN(H22)-4),$F$5:$F$17,0)),"-")</f>
        <v>-</v>
      </c>
      <c r="I25" s="86" cm="1">
        <f t="array" ref="I25">IF(OR($H$5:$H$17=LEFT(I22,LEN(I22)-4)),MAX(IF($H$5:$H$17=LEFT(I22,LEN(I22)-4),$F$5:$F$17,0)),"-")</f>
        <v>0</v>
      </c>
      <c r="J25" s="86" cm="1">
        <f t="array" ref="J25">IF(OR($H$5:$H$17=LEFT(J22,LEN(J22)-4)),MAX(IF($H$5:$H$17=LEFT(J22,LEN(J22)-4),$F$5:$F$17,0)),"-")</f>
        <v>2800</v>
      </c>
      <c r="K25" s="86" cm="1">
        <f t="array" ref="K25">IF(OR($H$5:$H$17=LEFT(K22,LEN(K22)-4)),MAX(IF($H$5:$H$17=LEFT(K22,LEN(K22)-4),$F$5:$F$17,0)),"-")</f>
        <v>4000</v>
      </c>
      <c r="L25" s="86" t="str" cm="1">
        <f t="array" ref="L25">IF(OR($H$5:$H$17=LEFT(L22,LEN(L22)-4)),MAX(IF($H$5:$H$17=LEFT(L22,LEN(L22)-4),$F$5:$F$17,0)),"-")</f>
        <v>-</v>
      </c>
      <c r="M25" s="86" t="str" cm="1">
        <f t="array" ref="M25">IF(OR($H$5:$H$17=LEFT(M22,LEN(M22)-4)),MAX(IF($H$5:$H$17=LEFT(M22,LEN(M22)-4),$F$5:$F$17,0)),"-")</f>
        <v>-</v>
      </c>
      <c r="N25" s="86" t="str" cm="1">
        <f t="array" ref="N25">IF(OR($H$5:$H$17=LEFT(N22,LEN(N22)-4)),MAX(IF($H$5:$H$17=LEFT(N22,LEN(N22)-4),$F$5:$F$17,0)),"-")</f>
        <v>-</v>
      </c>
      <c r="O25" s="35"/>
    </row>
    <row r="26" spans="2:15" x14ac:dyDescent="0.25">
      <c r="O26" s="35"/>
    </row>
    <row r="27" spans="2:15" x14ac:dyDescent="0.25">
      <c r="B27" s="35"/>
      <c r="C27" s="35"/>
      <c r="D27" s="35"/>
      <c r="E27" s="35"/>
      <c r="F27" s="35"/>
      <c r="G27" s="35"/>
      <c r="H27" s="35"/>
      <c r="I27" s="35"/>
      <c r="J27" s="35"/>
      <c r="K27" s="35"/>
      <c r="L27" s="35"/>
      <c r="M27" s="35"/>
      <c r="N27" s="35"/>
      <c r="O27" s="35"/>
    </row>
    <row r="28" spans="2:15" ht="13.8" x14ac:dyDescent="0.3">
      <c r="B28" s="39" t="s">
        <v>108</v>
      </c>
      <c r="C28" s="35"/>
      <c r="D28" s="35"/>
      <c r="E28" s="35"/>
      <c r="F28" s="35"/>
      <c r="G28" s="35"/>
      <c r="H28" s="35"/>
      <c r="I28" s="35"/>
      <c r="J28" s="35"/>
      <c r="K28" s="35"/>
      <c r="L28" s="35"/>
      <c r="M28" s="35"/>
      <c r="N28" s="35"/>
      <c r="O28" s="35"/>
    </row>
    <row r="29" spans="2:15" ht="13.8" thickBot="1" x14ac:dyDescent="0.3">
      <c r="B29" s="35"/>
      <c r="C29" s="35"/>
      <c r="D29" s="35"/>
      <c r="E29" s="35"/>
      <c r="F29" s="35"/>
      <c r="G29" s="35"/>
      <c r="H29" s="35"/>
      <c r="I29" s="35"/>
      <c r="J29" s="35"/>
      <c r="K29" s="35"/>
      <c r="L29" s="35"/>
      <c r="M29" s="35"/>
      <c r="N29" s="35"/>
      <c r="O29" s="35"/>
    </row>
    <row r="30" spans="2:15" ht="13.8" thickBot="1" x14ac:dyDescent="0.3">
      <c r="B30" s="40"/>
      <c r="C30" s="41"/>
      <c r="D30" s="41"/>
      <c r="E30" s="41"/>
      <c r="F30" s="41"/>
      <c r="G30" s="41"/>
      <c r="H30" s="42"/>
      <c r="I30" s="35"/>
      <c r="J30" s="55" t="s">
        <v>83</v>
      </c>
      <c r="K30" s="54">
        <v>5</v>
      </c>
      <c r="L30" s="35"/>
      <c r="M30" s="35"/>
      <c r="N30" s="35"/>
      <c r="O30" s="35"/>
    </row>
    <row r="31" spans="2:15" x14ac:dyDescent="0.25">
      <c r="B31" s="43"/>
      <c r="C31" s="44"/>
      <c r="D31" s="44"/>
      <c r="E31" s="44"/>
      <c r="F31" s="44"/>
      <c r="G31" s="44"/>
      <c r="H31" s="45"/>
      <c r="I31" s="35"/>
      <c r="J31" s="35"/>
      <c r="K31" s="35"/>
      <c r="L31" s="35"/>
      <c r="M31" s="35"/>
      <c r="N31" s="35"/>
      <c r="O31" s="35"/>
    </row>
    <row r="32" spans="2:15" x14ac:dyDescent="0.25">
      <c r="B32" s="43"/>
      <c r="C32" s="44"/>
      <c r="D32" s="44"/>
      <c r="E32" s="44"/>
      <c r="F32" s="44"/>
      <c r="G32" s="44"/>
      <c r="H32" s="45"/>
      <c r="I32" s="35"/>
      <c r="J32" s="35"/>
      <c r="K32" s="35"/>
      <c r="L32" s="35"/>
      <c r="M32" s="35"/>
      <c r="N32" s="35"/>
      <c r="O32" s="35"/>
    </row>
    <row r="33" spans="2:15" x14ac:dyDescent="0.25">
      <c r="B33" s="43"/>
      <c r="C33" s="44"/>
      <c r="D33" s="44"/>
      <c r="E33" s="44"/>
      <c r="F33" s="44"/>
      <c r="G33" s="44"/>
      <c r="H33" s="45"/>
      <c r="I33" s="35"/>
      <c r="J33" s="35"/>
      <c r="K33" s="35"/>
      <c r="L33" s="35"/>
      <c r="M33" s="35"/>
      <c r="N33" s="35"/>
      <c r="O33" s="35"/>
    </row>
    <row r="34" spans="2:15" x14ac:dyDescent="0.25">
      <c r="B34" s="43"/>
      <c r="C34" s="44"/>
      <c r="D34" s="44"/>
      <c r="E34" s="44"/>
      <c r="F34" s="44"/>
      <c r="G34" s="44"/>
      <c r="H34" s="45"/>
      <c r="I34" s="35"/>
      <c r="J34" s="35"/>
      <c r="K34" s="35"/>
      <c r="L34" s="35"/>
      <c r="M34" s="35"/>
      <c r="N34" s="35"/>
      <c r="O34" s="35"/>
    </row>
    <row r="35" spans="2:15" x14ac:dyDescent="0.25">
      <c r="B35" s="43"/>
      <c r="C35" s="44"/>
      <c r="D35" s="44"/>
      <c r="E35" s="44"/>
      <c r="F35" s="44"/>
      <c r="G35" s="44"/>
      <c r="H35" s="45"/>
      <c r="I35" s="35"/>
      <c r="J35" s="35"/>
      <c r="K35" s="35"/>
      <c r="L35" s="35"/>
      <c r="M35" s="35"/>
      <c r="N35" s="35"/>
      <c r="O35" s="35"/>
    </row>
    <row r="36" spans="2:15" x14ac:dyDescent="0.25">
      <c r="B36" s="43"/>
      <c r="C36" s="44"/>
      <c r="D36" s="44"/>
      <c r="E36" s="44"/>
      <c r="F36" s="44"/>
      <c r="G36" s="44"/>
      <c r="H36" s="45"/>
      <c r="I36" s="35"/>
      <c r="J36" s="35"/>
      <c r="K36" s="35"/>
      <c r="L36" s="35"/>
      <c r="M36" s="35"/>
      <c r="N36" s="35"/>
      <c r="O36" s="35"/>
    </row>
    <row r="37" spans="2:15" x14ac:dyDescent="0.25">
      <c r="B37" s="43"/>
      <c r="C37" s="44"/>
      <c r="D37" s="44"/>
      <c r="E37" s="44"/>
      <c r="F37" s="44"/>
      <c r="G37" s="44"/>
      <c r="H37" s="45"/>
      <c r="I37" s="35"/>
      <c r="J37" s="35"/>
      <c r="K37" s="35"/>
      <c r="L37" s="35"/>
      <c r="M37" s="35"/>
      <c r="N37" s="35"/>
      <c r="O37" s="35"/>
    </row>
    <row r="38" spans="2:15" x14ac:dyDescent="0.25">
      <c r="B38" s="43"/>
      <c r="C38" s="44"/>
      <c r="D38" s="44"/>
      <c r="E38" s="44"/>
      <c r="F38" s="44"/>
      <c r="G38" s="44"/>
      <c r="H38" s="45"/>
      <c r="I38" s="35"/>
      <c r="J38" s="35"/>
      <c r="K38" s="35"/>
      <c r="L38" s="35"/>
      <c r="M38" s="35"/>
      <c r="N38" s="35"/>
      <c r="O38" s="35"/>
    </row>
    <row r="39" spans="2:15" x14ac:dyDescent="0.25">
      <c r="B39" s="43"/>
      <c r="C39" s="44"/>
      <c r="D39" s="44"/>
      <c r="E39" s="44"/>
      <c r="F39" s="44"/>
      <c r="G39" s="44"/>
      <c r="H39" s="45"/>
      <c r="I39" s="35"/>
      <c r="J39" s="35"/>
      <c r="K39" s="35"/>
      <c r="L39" s="35"/>
      <c r="M39" s="35"/>
      <c r="N39" s="35"/>
      <c r="O39" s="35"/>
    </row>
    <row r="40" spans="2:15" x14ac:dyDescent="0.25">
      <c r="B40" s="43"/>
      <c r="C40" s="44"/>
      <c r="D40" s="44"/>
      <c r="E40" s="44"/>
      <c r="F40" s="44"/>
      <c r="G40" s="44"/>
      <c r="H40" s="45"/>
      <c r="I40" s="35"/>
      <c r="J40" s="35"/>
      <c r="K40" s="35"/>
      <c r="L40" s="35"/>
      <c r="M40" s="35"/>
      <c r="N40" s="35"/>
      <c r="O40" s="35"/>
    </row>
    <row r="41" spans="2:15" x14ac:dyDescent="0.25">
      <c r="B41" s="43"/>
      <c r="C41" s="44"/>
      <c r="D41" s="44"/>
      <c r="E41" s="44"/>
      <c r="F41" s="44"/>
      <c r="G41" s="44"/>
      <c r="H41" s="45"/>
      <c r="I41" s="35"/>
      <c r="J41" s="35"/>
      <c r="K41" s="35"/>
      <c r="L41" s="35"/>
      <c r="M41" s="35"/>
      <c r="N41" s="35"/>
      <c r="O41" s="35"/>
    </row>
    <row r="42" spans="2:15" x14ac:dyDescent="0.25">
      <c r="B42" s="43"/>
      <c r="C42" s="44"/>
      <c r="D42" s="44"/>
      <c r="E42" s="44"/>
      <c r="F42" s="44"/>
      <c r="G42" s="44"/>
      <c r="H42" s="45"/>
      <c r="I42" s="35"/>
      <c r="J42" s="35"/>
      <c r="K42" s="35"/>
      <c r="L42" s="35"/>
      <c r="M42" s="35"/>
      <c r="N42" s="35"/>
      <c r="O42" s="35"/>
    </row>
    <row r="43" spans="2:15" x14ac:dyDescent="0.25">
      <c r="B43" s="43"/>
      <c r="C43" s="44"/>
      <c r="D43" s="44"/>
      <c r="E43" s="44"/>
      <c r="F43" s="44"/>
      <c r="G43" s="44"/>
      <c r="H43" s="45"/>
      <c r="I43" s="35"/>
      <c r="J43" s="35"/>
      <c r="K43" s="35"/>
      <c r="L43" s="35"/>
      <c r="M43" s="35"/>
      <c r="N43" s="35"/>
      <c r="O43" s="35"/>
    </row>
    <row r="44" spans="2:15" x14ac:dyDescent="0.25">
      <c r="B44" s="43"/>
      <c r="C44" s="44"/>
      <c r="D44" s="44"/>
      <c r="E44" s="44"/>
      <c r="F44" s="44"/>
      <c r="G44" s="44"/>
      <c r="H44" s="45"/>
      <c r="I44" s="35"/>
      <c r="J44" s="35"/>
      <c r="K44" s="35"/>
      <c r="L44" s="35"/>
      <c r="M44" s="35"/>
      <c r="N44" s="35"/>
      <c r="O44" s="35"/>
    </row>
    <row r="45" spans="2:15" x14ac:dyDescent="0.25">
      <c r="B45" s="43"/>
      <c r="C45" s="44"/>
      <c r="D45" s="44"/>
      <c r="E45" s="44"/>
      <c r="F45" s="44"/>
      <c r="G45" s="44"/>
      <c r="H45" s="45"/>
      <c r="I45" s="35"/>
      <c r="J45" s="35"/>
      <c r="K45" s="35"/>
      <c r="L45" s="35"/>
      <c r="M45" s="35"/>
      <c r="N45" s="35"/>
      <c r="O45" s="35"/>
    </row>
    <row r="46" spans="2:15" x14ac:dyDescent="0.25">
      <c r="B46" s="43"/>
      <c r="C46" s="44"/>
      <c r="D46" s="44"/>
      <c r="E46" s="44"/>
      <c r="F46" s="44"/>
      <c r="G46" s="44"/>
      <c r="H46" s="45"/>
      <c r="I46" s="35"/>
      <c r="J46" s="35"/>
      <c r="K46" s="35"/>
      <c r="L46" s="35"/>
      <c r="M46" s="35"/>
      <c r="N46" s="35"/>
      <c r="O46" s="35"/>
    </row>
    <row r="47" spans="2:15" x14ac:dyDescent="0.25">
      <c r="B47" s="46"/>
      <c r="C47" s="47"/>
      <c r="D47" s="47"/>
      <c r="E47" s="47"/>
      <c r="F47" s="47"/>
      <c r="G47" s="47"/>
      <c r="H47" s="48"/>
      <c r="I47" s="35"/>
      <c r="J47" s="35"/>
      <c r="K47" s="35"/>
      <c r="L47" s="35"/>
      <c r="M47" s="35"/>
      <c r="N47" s="35"/>
      <c r="O47" s="35"/>
    </row>
    <row r="48" spans="2:15" x14ac:dyDescent="0.25">
      <c r="B48" s="35"/>
      <c r="C48" s="35"/>
      <c r="D48" s="35"/>
      <c r="E48" s="35"/>
      <c r="F48" s="35"/>
      <c r="G48" s="35"/>
      <c r="H48" s="35"/>
      <c r="I48" s="35"/>
      <c r="J48" s="35"/>
      <c r="K48" s="35"/>
      <c r="L48" s="35"/>
      <c r="M48" s="35"/>
      <c r="N48" s="35"/>
      <c r="O48" s="35"/>
    </row>
    <row r="49" spans="2:30" x14ac:dyDescent="0.25">
      <c r="B49" s="35"/>
      <c r="C49" s="35"/>
      <c r="D49" s="35"/>
      <c r="E49" s="35"/>
      <c r="F49" s="35"/>
      <c r="G49" s="35"/>
      <c r="H49" s="35"/>
      <c r="I49" s="35"/>
      <c r="J49" s="35"/>
      <c r="K49" s="35"/>
      <c r="L49" s="35"/>
      <c r="M49" s="35"/>
      <c r="N49" s="35"/>
      <c r="O49" s="35"/>
    </row>
    <row r="50" spans="2:30" ht="13.8" thickBot="1" x14ac:dyDescent="0.3">
      <c r="B50" s="35"/>
      <c r="C50" s="35"/>
      <c r="D50" s="35"/>
      <c r="E50" s="35"/>
      <c r="F50" s="35"/>
      <c r="G50" s="35"/>
      <c r="H50" s="35"/>
      <c r="I50" s="35"/>
      <c r="J50" s="35"/>
      <c r="K50" s="35"/>
      <c r="L50" s="35"/>
      <c r="M50" s="35"/>
      <c r="N50" s="35"/>
      <c r="O50" s="35"/>
    </row>
    <row r="51" spans="2:30" ht="14.4" thickBot="1" x14ac:dyDescent="0.35">
      <c r="B51" s="2" t="s">
        <v>47</v>
      </c>
      <c r="C51" s="35"/>
      <c r="D51" s="35"/>
      <c r="E51" s="35"/>
      <c r="F51" s="35"/>
      <c r="G51" s="35"/>
      <c r="H51" s="35"/>
      <c r="I51" s="35"/>
      <c r="J51" s="55" t="s">
        <v>83</v>
      </c>
      <c r="K51" s="54">
        <v>5</v>
      </c>
      <c r="L51" s="35"/>
      <c r="M51" s="35"/>
      <c r="N51" s="35"/>
      <c r="O51" s="35"/>
    </row>
    <row r="52" spans="2:30" ht="13.8" x14ac:dyDescent="0.3">
      <c r="B52" s="2" t="s">
        <v>38</v>
      </c>
      <c r="C52" s="35"/>
      <c r="D52" s="35"/>
      <c r="E52" s="35"/>
      <c r="F52" s="35"/>
      <c r="G52" s="35"/>
      <c r="H52" s="35"/>
      <c r="I52" s="35"/>
      <c r="J52" s="35"/>
      <c r="K52" s="35"/>
      <c r="L52" s="35"/>
      <c r="M52" s="35"/>
      <c r="N52" s="35"/>
      <c r="O52" s="35"/>
    </row>
    <row r="53" spans="2:30" ht="13.8" x14ac:dyDescent="0.3">
      <c r="B53" s="36" t="s">
        <v>109</v>
      </c>
      <c r="C53" s="35"/>
      <c r="D53" s="35"/>
      <c r="E53" s="35"/>
      <c r="F53" s="35"/>
      <c r="G53" s="35"/>
      <c r="H53" s="35"/>
      <c r="I53" s="35"/>
      <c r="J53" s="35"/>
      <c r="K53" s="35"/>
      <c r="L53" s="35"/>
      <c r="M53" s="35"/>
      <c r="N53" s="35"/>
      <c r="O53" s="35"/>
    </row>
    <row r="54" spans="2:30" ht="13.8" x14ac:dyDescent="0.3">
      <c r="B54" s="36" t="s">
        <v>94</v>
      </c>
      <c r="C54" s="35"/>
      <c r="D54" s="35"/>
      <c r="E54" s="35"/>
      <c r="F54" s="35"/>
      <c r="G54" s="35"/>
      <c r="H54" s="35"/>
      <c r="I54" s="35"/>
      <c r="J54" s="35"/>
      <c r="K54" s="35"/>
      <c r="L54" s="35"/>
      <c r="M54" s="35"/>
      <c r="N54" s="35"/>
      <c r="O54" s="35"/>
    </row>
    <row r="55" spans="2:30" x14ac:dyDescent="0.25">
      <c r="B55" s="35"/>
      <c r="C55" s="35"/>
      <c r="D55" s="35"/>
      <c r="E55" s="35"/>
      <c r="F55" s="35"/>
      <c r="G55" s="35"/>
      <c r="H55" s="35"/>
      <c r="I55" s="35"/>
      <c r="J55" s="35"/>
      <c r="K55" s="35"/>
      <c r="L55" s="35"/>
      <c r="M55" s="35"/>
      <c r="N55" s="35"/>
      <c r="O55" s="35"/>
    </row>
    <row r="56" spans="2:30" ht="14.4" x14ac:dyDescent="0.3">
      <c r="B56" s="93" t="s">
        <v>117</v>
      </c>
      <c r="C56" t="s">
        <v>162</v>
      </c>
      <c r="D56" t="s">
        <v>163</v>
      </c>
      <c r="E56" t="s">
        <v>164</v>
      </c>
      <c r="F56"/>
      <c r="G56"/>
      <c r="H56"/>
      <c r="I56"/>
      <c r="J56"/>
      <c r="K56"/>
      <c r="L56"/>
      <c r="M56"/>
      <c r="N56"/>
      <c r="O56"/>
      <c r="P56"/>
      <c r="Q56"/>
      <c r="R56"/>
      <c r="S56"/>
      <c r="T56"/>
      <c r="U56"/>
      <c r="V56"/>
      <c r="W56"/>
      <c r="X56"/>
      <c r="Y56"/>
      <c r="Z56"/>
      <c r="AA56"/>
      <c r="AB56"/>
      <c r="AC56"/>
      <c r="AD56"/>
    </row>
    <row r="57" spans="2:30" ht="14.4" x14ac:dyDescent="0.3">
      <c r="B57" s="94" t="s">
        <v>151</v>
      </c>
      <c r="C57" s="95">
        <v>5</v>
      </c>
      <c r="D57" s="95">
        <v>3200</v>
      </c>
      <c r="E57" s="101">
        <v>320</v>
      </c>
      <c r="F57"/>
      <c r="G57"/>
      <c r="H57"/>
      <c r="I57"/>
      <c r="J57"/>
      <c r="K57"/>
      <c r="L57"/>
      <c r="M57"/>
      <c r="N57"/>
      <c r="O57"/>
      <c r="P57"/>
      <c r="Q57"/>
      <c r="R57"/>
      <c r="S57"/>
      <c r="T57"/>
      <c r="U57"/>
      <c r="V57"/>
      <c r="W57"/>
      <c r="X57"/>
      <c r="Y57"/>
      <c r="Z57"/>
      <c r="AA57"/>
      <c r="AB57"/>
      <c r="AC57"/>
      <c r="AD57"/>
    </row>
    <row r="58" spans="2:30" ht="14.4" x14ac:dyDescent="0.3">
      <c r="B58" s="94" t="s">
        <v>152</v>
      </c>
      <c r="C58" s="95">
        <v>1</v>
      </c>
      <c r="D58" s="95">
        <v>400</v>
      </c>
      <c r="E58" s="101">
        <v>40</v>
      </c>
      <c r="F58"/>
      <c r="G58"/>
      <c r="H58"/>
      <c r="I58"/>
      <c r="J58"/>
      <c r="K58"/>
      <c r="L58"/>
      <c r="M58"/>
      <c r="N58"/>
      <c r="O58"/>
      <c r="P58"/>
      <c r="Q58"/>
      <c r="R58"/>
      <c r="S58"/>
      <c r="T58"/>
      <c r="U58"/>
      <c r="V58"/>
      <c r="W58"/>
      <c r="X58"/>
      <c r="Y58"/>
      <c r="Z58"/>
      <c r="AA58"/>
      <c r="AB58"/>
      <c r="AC58"/>
      <c r="AD58"/>
    </row>
    <row r="59" spans="2:30" ht="14.4" x14ac:dyDescent="0.3">
      <c r="B59" s="94" t="s">
        <v>153</v>
      </c>
      <c r="C59" s="95">
        <v>1</v>
      </c>
      <c r="D59" s="95">
        <v>1200</v>
      </c>
      <c r="E59" s="101">
        <v>120</v>
      </c>
      <c r="F59"/>
      <c r="G59"/>
      <c r="H59"/>
      <c r="I59"/>
      <c r="J59"/>
      <c r="K59"/>
      <c r="L59"/>
      <c r="M59"/>
      <c r="N59"/>
      <c r="O59"/>
      <c r="P59"/>
      <c r="Q59"/>
      <c r="R59"/>
      <c r="S59"/>
      <c r="T59"/>
      <c r="U59"/>
      <c r="V59"/>
      <c r="W59"/>
      <c r="X59"/>
      <c r="Y59"/>
      <c r="Z59"/>
      <c r="AA59"/>
      <c r="AB59"/>
      <c r="AC59"/>
      <c r="AD59"/>
    </row>
    <row r="60" spans="2:30" ht="14.4" x14ac:dyDescent="0.3">
      <c r="B60" s="94" t="s">
        <v>154</v>
      </c>
      <c r="C60" s="95">
        <v>2</v>
      </c>
      <c r="D60" s="95">
        <v>400</v>
      </c>
      <c r="E60" s="101">
        <v>40</v>
      </c>
      <c r="F60"/>
      <c r="G60"/>
      <c r="H60"/>
      <c r="I60"/>
      <c r="J60"/>
      <c r="K60"/>
      <c r="L60"/>
      <c r="M60"/>
      <c r="N60"/>
      <c r="O60"/>
      <c r="P60"/>
      <c r="Q60"/>
      <c r="R60"/>
      <c r="S60"/>
      <c r="T60"/>
      <c r="U60"/>
      <c r="V60"/>
      <c r="W60"/>
      <c r="X60"/>
      <c r="Y60"/>
      <c r="Z60"/>
      <c r="AA60"/>
      <c r="AB60"/>
      <c r="AC60"/>
      <c r="AD60"/>
    </row>
    <row r="61" spans="2:30" ht="14.4" x14ac:dyDescent="0.3">
      <c r="B61" s="94" t="s">
        <v>155</v>
      </c>
      <c r="C61" s="95">
        <v>1</v>
      </c>
      <c r="D61" s="95">
        <v>0</v>
      </c>
      <c r="E61" s="101">
        <v>0</v>
      </c>
      <c r="F61"/>
      <c r="G61"/>
      <c r="H61"/>
      <c r="I61"/>
      <c r="J61"/>
      <c r="K61"/>
      <c r="L61"/>
      <c r="M61"/>
      <c r="N61"/>
      <c r="O61"/>
      <c r="P61"/>
      <c r="Q61"/>
      <c r="R61"/>
      <c r="S61"/>
      <c r="T61"/>
      <c r="U61"/>
      <c r="V61"/>
      <c r="W61"/>
      <c r="X61"/>
      <c r="Y61"/>
      <c r="Z61"/>
      <c r="AA61"/>
      <c r="AB61"/>
      <c r="AC61"/>
      <c r="AD61"/>
    </row>
    <row r="62" spans="2:30" ht="14.4" x14ac:dyDescent="0.3">
      <c r="B62" s="94" t="s">
        <v>156</v>
      </c>
      <c r="C62" s="95">
        <v>1</v>
      </c>
      <c r="D62" s="95">
        <v>2800</v>
      </c>
      <c r="E62" s="101">
        <v>280</v>
      </c>
      <c r="F62"/>
      <c r="G62"/>
      <c r="H62"/>
      <c r="I62"/>
      <c r="J62"/>
      <c r="K62"/>
      <c r="L62"/>
      <c r="M62"/>
      <c r="N62"/>
      <c r="O62"/>
      <c r="P62"/>
      <c r="Q62"/>
      <c r="R62"/>
      <c r="S62"/>
      <c r="T62"/>
      <c r="U62"/>
      <c r="V62"/>
      <c r="W62"/>
      <c r="X62"/>
      <c r="Y62"/>
      <c r="Z62"/>
      <c r="AA62"/>
      <c r="AB62"/>
      <c r="AC62"/>
      <c r="AD62"/>
    </row>
    <row r="63" spans="2:30" ht="14.4" x14ac:dyDescent="0.3">
      <c r="B63" s="94" t="s">
        <v>157</v>
      </c>
      <c r="C63" s="95">
        <v>2</v>
      </c>
      <c r="D63" s="95">
        <v>4400</v>
      </c>
      <c r="E63" s="101">
        <v>440</v>
      </c>
      <c r="F63"/>
      <c r="G63"/>
      <c r="H63"/>
      <c r="I63"/>
      <c r="J63"/>
      <c r="K63"/>
      <c r="L63"/>
      <c r="M63"/>
      <c r="N63"/>
      <c r="O63"/>
      <c r="P63"/>
      <c r="Q63"/>
      <c r="R63"/>
      <c r="S63"/>
      <c r="T63"/>
      <c r="U63"/>
      <c r="V63"/>
      <c r="W63"/>
      <c r="X63"/>
      <c r="Y63"/>
      <c r="Z63"/>
      <c r="AA63"/>
      <c r="AB63"/>
      <c r="AC63"/>
      <c r="AD63"/>
    </row>
    <row r="64" spans="2:30" ht="14.4" x14ac:dyDescent="0.3">
      <c r="B64" s="94" t="s">
        <v>118</v>
      </c>
      <c r="C64" s="95">
        <v>13</v>
      </c>
      <c r="D64" s="95">
        <v>12400</v>
      </c>
      <c r="E64" s="101">
        <v>1240</v>
      </c>
      <c r="F64"/>
      <c r="G64"/>
      <c r="H64"/>
      <c r="I64"/>
      <c r="J64"/>
      <c r="K64"/>
      <c r="L64"/>
      <c r="M64"/>
      <c r="N64"/>
      <c r="O64"/>
      <c r="P64"/>
      <c r="Q64"/>
      <c r="R64"/>
      <c r="S64"/>
      <c r="T64"/>
      <c r="U64"/>
      <c r="V64"/>
      <c r="W64"/>
      <c r="X64"/>
      <c r="Y64"/>
      <c r="Z64"/>
      <c r="AA64"/>
      <c r="AB64"/>
      <c r="AC64"/>
      <c r="AD64"/>
    </row>
    <row r="65" spans="2:30" ht="14.4" x14ac:dyDescent="0.3">
      <c r="B65"/>
      <c r="C65"/>
      <c r="D65"/>
      <c r="E65"/>
      <c r="F65"/>
      <c r="G65"/>
      <c r="H65"/>
      <c r="I65"/>
      <c r="J65"/>
      <c r="K65"/>
      <c r="L65"/>
      <c r="M65"/>
      <c r="N65"/>
      <c r="O65"/>
      <c r="P65"/>
      <c r="Q65"/>
      <c r="R65"/>
      <c r="S65"/>
      <c r="T65"/>
      <c r="U65"/>
      <c r="V65"/>
      <c r="W65"/>
      <c r="X65"/>
      <c r="Y65"/>
      <c r="Z65"/>
      <c r="AA65"/>
      <c r="AB65"/>
      <c r="AC65"/>
      <c r="AD65"/>
    </row>
    <row r="66" spans="2:30" ht="14.4" x14ac:dyDescent="0.3">
      <c r="B66"/>
      <c r="C66"/>
      <c r="D66"/>
      <c r="E66"/>
      <c r="F66"/>
      <c r="G66"/>
      <c r="H66"/>
      <c r="I66"/>
      <c r="J66"/>
      <c r="K66"/>
      <c r="L66"/>
      <c r="M66"/>
      <c r="N66"/>
      <c r="O66"/>
      <c r="P66"/>
      <c r="Q66"/>
      <c r="R66"/>
      <c r="S66"/>
      <c r="T66"/>
      <c r="U66"/>
      <c r="V66"/>
      <c r="W66"/>
      <c r="X66"/>
      <c r="Y66"/>
      <c r="Z66"/>
      <c r="AA66"/>
      <c r="AB66"/>
      <c r="AC66"/>
      <c r="AD66"/>
    </row>
    <row r="67" spans="2:30" ht="14.4" x14ac:dyDescent="0.3">
      <c r="B67"/>
      <c r="C67"/>
      <c r="D67"/>
      <c r="E67"/>
      <c r="F67"/>
      <c r="G67"/>
      <c r="H67"/>
      <c r="I67"/>
      <c r="J67"/>
      <c r="K67"/>
      <c r="L67"/>
      <c r="M67"/>
      <c r="N67"/>
      <c r="O67"/>
      <c r="P67"/>
      <c r="Q67"/>
      <c r="R67"/>
      <c r="S67"/>
      <c r="T67"/>
      <c r="U67"/>
      <c r="V67"/>
      <c r="W67"/>
      <c r="X67"/>
      <c r="Y67"/>
      <c r="Z67"/>
      <c r="AA67"/>
      <c r="AB67"/>
      <c r="AC67"/>
      <c r="AD67"/>
    </row>
    <row r="68" spans="2:30" ht="14.4" x14ac:dyDescent="0.3">
      <c r="B68"/>
      <c r="C68"/>
      <c r="D68"/>
      <c r="E68" s="44"/>
      <c r="F68" s="44"/>
      <c r="G68" s="44"/>
      <c r="H68" s="45"/>
      <c r="I68" s="35"/>
      <c r="J68" s="35"/>
      <c r="K68" s="35"/>
      <c r="L68" s="35"/>
      <c r="M68" s="35"/>
      <c r="N68" s="35"/>
      <c r="O68" s="35"/>
    </row>
    <row r="69" spans="2:30" ht="14.4" x14ac:dyDescent="0.3">
      <c r="B69"/>
      <c r="C69"/>
      <c r="D69"/>
      <c r="E69" s="44"/>
      <c r="F69" s="44"/>
      <c r="G69" s="44"/>
      <c r="H69" s="45"/>
      <c r="I69" s="35"/>
      <c r="J69" s="35"/>
      <c r="K69" s="35"/>
      <c r="L69" s="35"/>
      <c r="M69" s="35"/>
      <c r="N69" s="35"/>
      <c r="O69" s="35"/>
    </row>
    <row r="70" spans="2:30" ht="14.4" x14ac:dyDescent="0.3">
      <c r="B70"/>
      <c r="C70"/>
      <c r="D70"/>
      <c r="E70" s="44"/>
      <c r="F70" s="44"/>
      <c r="G70" s="44"/>
      <c r="H70" s="45"/>
      <c r="I70" s="35"/>
      <c r="J70" s="35"/>
      <c r="K70" s="35"/>
      <c r="L70" s="35"/>
      <c r="M70" s="35"/>
      <c r="N70" s="35"/>
      <c r="O70" s="35"/>
    </row>
    <row r="71" spans="2:30" ht="14.4" x14ac:dyDescent="0.3">
      <c r="B71"/>
      <c r="C71"/>
      <c r="D71"/>
      <c r="E71" s="44"/>
      <c r="F71" s="44"/>
      <c r="G71" s="44"/>
      <c r="H71" s="45"/>
      <c r="I71" s="35"/>
      <c r="J71" s="35"/>
      <c r="K71" s="35"/>
      <c r="L71" s="35"/>
      <c r="M71" s="35"/>
      <c r="N71" s="35"/>
      <c r="O71" s="35"/>
    </row>
    <row r="72" spans="2:30" ht="14.4" x14ac:dyDescent="0.3">
      <c r="B72"/>
      <c r="C72"/>
      <c r="D72"/>
      <c r="E72" s="44"/>
      <c r="F72" s="44"/>
      <c r="G72" s="44"/>
      <c r="H72" s="45"/>
      <c r="I72" s="35"/>
      <c r="J72" s="35"/>
      <c r="K72" s="35"/>
      <c r="L72" s="35"/>
      <c r="M72" s="35"/>
      <c r="N72" s="35"/>
      <c r="O72" s="35"/>
    </row>
    <row r="73" spans="2:30" ht="14.4" x14ac:dyDescent="0.3">
      <c r="B73"/>
      <c r="C73"/>
      <c r="D73"/>
      <c r="E73" s="47"/>
      <c r="F73" s="47"/>
      <c r="G73" s="47"/>
      <c r="H73" s="48"/>
      <c r="I73" s="35"/>
      <c r="J73" s="35"/>
      <c r="K73" s="35"/>
      <c r="L73" s="35"/>
      <c r="M73" s="35"/>
      <c r="N73" s="35"/>
      <c r="O73" s="35"/>
    </row>
    <row r="74" spans="2:30" ht="14.4" x14ac:dyDescent="0.3">
      <c r="B74"/>
      <c r="C74"/>
      <c r="D74"/>
      <c r="E74" s="35"/>
      <c r="F74" s="35"/>
      <c r="G74" s="35"/>
      <c r="H74" s="35"/>
      <c r="I74" s="35"/>
      <c r="J74" s="35"/>
      <c r="K74" s="35"/>
      <c r="L74" s="35"/>
      <c r="M74" s="35"/>
      <c r="N74" s="35"/>
      <c r="O74" s="35"/>
    </row>
    <row r="75" spans="2:30" ht="14.4" x14ac:dyDescent="0.3">
      <c r="B75"/>
      <c r="C75"/>
      <c r="D75"/>
      <c r="E75" s="35"/>
      <c r="F75" s="35"/>
      <c r="G75" s="35"/>
      <c r="H75" s="35"/>
      <c r="I75" s="35"/>
      <c r="J75" s="35"/>
      <c r="K75" s="35"/>
      <c r="L75" s="35"/>
      <c r="M75" s="35"/>
      <c r="N75" s="35"/>
      <c r="O75" s="35"/>
    </row>
    <row r="76" spans="2:30" ht="14.4" x14ac:dyDescent="0.3">
      <c r="B76"/>
      <c r="C76"/>
      <c r="D76"/>
      <c r="E76" s="35"/>
      <c r="F76" s="35"/>
      <c r="G76" s="35"/>
      <c r="H76" s="35"/>
      <c r="I76" s="35"/>
      <c r="J76" s="35"/>
      <c r="K76" s="35"/>
      <c r="L76" s="35"/>
      <c r="M76" s="35"/>
      <c r="N76" s="35"/>
      <c r="O76" s="35"/>
    </row>
    <row r="77" spans="2:30" ht="14.4" x14ac:dyDescent="0.3">
      <c r="B77"/>
      <c r="C77"/>
      <c r="D77"/>
      <c r="E77" s="35"/>
      <c r="F77" s="35"/>
      <c r="G77" s="35"/>
      <c r="H77" s="35"/>
      <c r="I77" s="35"/>
      <c r="J77" s="35"/>
      <c r="K77" s="35"/>
      <c r="L77" s="35"/>
      <c r="M77" s="35"/>
      <c r="N77" s="35"/>
      <c r="O77" s="35"/>
    </row>
    <row r="78" spans="2:30" ht="14.4" x14ac:dyDescent="0.3">
      <c r="B78"/>
      <c r="C78"/>
      <c r="D78"/>
      <c r="E78" s="35"/>
      <c r="F78" s="35"/>
      <c r="G78" s="35"/>
      <c r="H78" s="35"/>
      <c r="I78" s="35"/>
      <c r="J78" s="35"/>
      <c r="K78" s="35"/>
      <c r="L78" s="35"/>
      <c r="M78" s="35"/>
      <c r="N78" s="35"/>
      <c r="O78" s="35"/>
    </row>
    <row r="79" spans="2:30" ht="12.75" customHeight="1" thickBot="1" x14ac:dyDescent="0.35">
      <c r="B79"/>
      <c r="C79"/>
      <c r="D79"/>
      <c r="E79" s="35"/>
      <c r="F79" s="35"/>
      <c r="G79" s="35"/>
      <c r="H79" s="35"/>
      <c r="I79" s="35"/>
      <c r="J79" s="35"/>
      <c r="K79" s="35"/>
      <c r="L79" s="35"/>
      <c r="M79" s="35"/>
      <c r="N79" s="35"/>
      <c r="O79" s="35"/>
    </row>
    <row r="80" spans="2:30" ht="15" thickBot="1" x14ac:dyDescent="0.35">
      <c r="B80"/>
      <c r="C80"/>
      <c r="D80"/>
      <c r="E80" s="35"/>
      <c r="F80" s="35"/>
      <c r="G80" s="35"/>
      <c r="H80" s="35"/>
      <c r="I80" s="35"/>
      <c r="J80" s="55" t="s">
        <v>83</v>
      </c>
      <c r="K80" s="54">
        <v>5</v>
      </c>
      <c r="L80" s="35"/>
      <c r="M80" s="35"/>
      <c r="N80" s="35"/>
      <c r="O80" s="35"/>
    </row>
    <row r="81" spans="2:15" ht="14.4" x14ac:dyDescent="0.3">
      <c r="B81"/>
      <c r="C81"/>
      <c r="D81"/>
      <c r="E81" s="41"/>
      <c r="F81" s="41"/>
      <c r="G81" s="41"/>
      <c r="H81" s="42"/>
      <c r="I81" s="35"/>
      <c r="J81" s="35"/>
      <c r="K81" s="35"/>
      <c r="L81" s="35"/>
      <c r="M81" s="35"/>
      <c r="N81" s="35"/>
      <c r="O81" s="35"/>
    </row>
    <row r="82" spans="2:15" ht="14.4" x14ac:dyDescent="0.3">
      <c r="B82"/>
      <c r="C82"/>
      <c r="D82"/>
      <c r="E82" s="44"/>
      <c r="F82" s="44"/>
      <c r="G82" s="44"/>
      <c r="H82" s="45"/>
      <c r="I82" s="35"/>
      <c r="J82" s="35"/>
      <c r="K82" s="35"/>
      <c r="L82" s="35"/>
      <c r="M82" s="35"/>
      <c r="N82" s="35"/>
      <c r="O82" s="35"/>
    </row>
    <row r="83" spans="2:15" ht="14.4" x14ac:dyDescent="0.3">
      <c r="B83"/>
      <c r="C83"/>
      <c r="D83"/>
      <c r="E83" s="44"/>
      <c r="F83" s="44"/>
      <c r="G83" s="44"/>
      <c r="H83" s="45"/>
      <c r="I83" s="35"/>
      <c r="J83" s="35"/>
      <c r="K83" s="35"/>
      <c r="L83" s="35"/>
      <c r="M83" s="35"/>
      <c r="N83" s="35"/>
      <c r="O83" s="35"/>
    </row>
    <row r="84" spans="2:15" x14ac:dyDescent="0.25">
      <c r="B84" s="43"/>
      <c r="C84" s="44"/>
      <c r="D84" s="44"/>
      <c r="E84" s="44"/>
      <c r="F84" s="44"/>
      <c r="G84" s="44"/>
      <c r="H84" s="45"/>
      <c r="I84" s="35"/>
      <c r="J84" s="35"/>
      <c r="K84" s="35"/>
      <c r="L84" s="35"/>
      <c r="M84" s="35"/>
      <c r="N84" s="35"/>
      <c r="O84" s="35"/>
    </row>
    <row r="85" spans="2:15" x14ac:dyDescent="0.25">
      <c r="B85" s="43"/>
      <c r="C85" s="44"/>
      <c r="D85" s="44"/>
      <c r="E85" s="44"/>
      <c r="F85" s="44"/>
      <c r="G85" s="44"/>
      <c r="H85" s="45"/>
      <c r="I85" s="35"/>
      <c r="J85" s="35"/>
      <c r="K85" s="35"/>
      <c r="L85" s="35"/>
      <c r="M85" s="35"/>
      <c r="N85" s="35"/>
      <c r="O85" s="35"/>
    </row>
    <row r="86" spans="2:15" x14ac:dyDescent="0.25">
      <c r="B86" s="43"/>
      <c r="C86" s="44"/>
      <c r="D86" s="44"/>
      <c r="E86" s="44"/>
      <c r="F86" s="44"/>
      <c r="G86" s="44"/>
      <c r="H86" s="45"/>
      <c r="I86" s="35"/>
      <c r="J86" s="35"/>
      <c r="K86" s="35"/>
      <c r="L86" s="35"/>
      <c r="M86" s="35"/>
      <c r="N86" s="35"/>
      <c r="O86" s="35"/>
    </row>
    <row r="87" spans="2:15" x14ac:dyDescent="0.25">
      <c r="B87" s="43"/>
      <c r="C87" s="44"/>
      <c r="D87" s="44"/>
      <c r="E87" s="44"/>
      <c r="F87" s="44"/>
      <c r="G87" s="44"/>
      <c r="H87" s="45"/>
      <c r="I87" s="35"/>
      <c r="J87" s="35"/>
      <c r="K87" s="35"/>
      <c r="L87" s="35"/>
      <c r="M87" s="35"/>
      <c r="N87" s="35"/>
      <c r="O87" s="35"/>
    </row>
    <row r="88" spans="2:15" x14ac:dyDescent="0.25">
      <c r="B88" s="43"/>
      <c r="C88" s="44"/>
      <c r="D88" s="44"/>
      <c r="E88" s="44"/>
      <c r="F88" s="44"/>
      <c r="G88" s="44"/>
      <c r="H88" s="45"/>
      <c r="I88" s="35"/>
      <c r="J88" s="35"/>
      <c r="K88" s="35"/>
      <c r="L88" s="35"/>
      <c r="M88" s="35"/>
      <c r="N88" s="35"/>
      <c r="O88" s="35"/>
    </row>
    <row r="89" spans="2:15" x14ac:dyDescent="0.25">
      <c r="B89" s="43"/>
      <c r="C89" s="44"/>
      <c r="D89" s="44"/>
      <c r="E89" s="44"/>
      <c r="F89" s="44"/>
      <c r="G89" s="44"/>
      <c r="H89" s="45"/>
      <c r="I89" s="35"/>
      <c r="J89" s="35"/>
      <c r="K89" s="35"/>
      <c r="L89" s="35"/>
      <c r="M89" s="35"/>
      <c r="N89" s="35"/>
      <c r="O89" s="35"/>
    </row>
    <row r="90" spans="2:15" x14ac:dyDescent="0.25">
      <c r="B90" s="43"/>
      <c r="C90" s="44"/>
      <c r="D90" s="44"/>
      <c r="E90" s="44"/>
      <c r="F90" s="44"/>
      <c r="G90" s="44"/>
      <c r="H90" s="45"/>
      <c r="I90" s="35"/>
      <c r="J90" s="35"/>
      <c r="K90" s="35"/>
      <c r="L90" s="35"/>
      <c r="M90" s="35"/>
      <c r="N90" s="35"/>
      <c r="O90" s="35"/>
    </row>
    <row r="91" spans="2:15" x14ac:dyDescent="0.25">
      <c r="B91" s="43"/>
      <c r="C91" s="44"/>
      <c r="D91" s="44"/>
      <c r="E91" s="44"/>
      <c r="F91" s="44"/>
      <c r="G91" s="44"/>
      <c r="H91" s="45"/>
      <c r="I91" s="35"/>
      <c r="J91" s="35"/>
      <c r="K91" s="35"/>
      <c r="L91" s="35"/>
      <c r="M91" s="35"/>
      <c r="N91" s="35"/>
      <c r="O91" s="35"/>
    </row>
    <row r="92" spans="2:15" x14ac:dyDescent="0.25">
      <c r="B92" s="43"/>
      <c r="C92" s="44"/>
      <c r="D92" s="44"/>
      <c r="E92" s="44"/>
      <c r="F92" s="44"/>
      <c r="G92" s="44"/>
      <c r="H92" s="45"/>
    </row>
    <row r="93" spans="2:15" x14ac:dyDescent="0.25">
      <c r="B93" s="43"/>
      <c r="C93" s="44"/>
      <c r="D93" s="44"/>
      <c r="E93" s="44"/>
      <c r="F93" s="44"/>
      <c r="G93" s="44"/>
      <c r="H93" s="45"/>
    </row>
    <row r="94" spans="2:15" x14ac:dyDescent="0.25">
      <c r="B94" s="43"/>
      <c r="C94" s="44"/>
      <c r="D94" s="44"/>
      <c r="E94" s="44"/>
      <c r="F94" s="44"/>
      <c r="G94" s="44"/>
      <c r="H94" s="45"/>
    </row>
    <row r="95" spans="2:15" x14ac:dyDescent="0.25">
      <c r="B95" s="43"/>
      <c r="C95" s="44"/>
      <c r="D95" s="44"/>
      <c r="E95" s="44"/>
      <c r="F95" s="44"/>
      <c r="G95" s="44"/>
      <c r="H95" s="45"/>
    </row>
    <row r="96" spans="2:15" x14ac:dyDescent="0.25">
      <c r="B96" s="43"/>
      <c r="C96" s="44"/>
      <c r="D96" s="44"/>
      <c r="E96" s="44"/>
      <c r="F96" s="44"/>
      <c r="G96" s="44"/>
      <c r="H96" s="45"/>
    </row>
    <row r="97" spans="2:11" x14ac:dyDescent="0.25">
      <c r="B97" s="43"/>
      <c r="C97" s="44"/>
      <c r="D97" s="44"/>
      <c r="E97" s="44"/>
      <c r="F97" s="44"/>
      <c r="G97" s="44"/>
      <c r="H97" s="45"/>
    </row>
    <row r="98" spans="2:11" x14ac:dyDescent="0.25">
      <c r="B98" s="46"/>
      <c r="C98" s="47"/>
      <c r="D98" s="47"/>
      <c r="E98" s="47"/>
      <c r="F98" s="47"/>
      <c r="G98" s="47"/>
      <c r="H98" s="48"/>
    </row>
    <row r="99" spans="2:11" x14ac:dyDescent="0.25"/>
    <row r="100" spans="2:11" x14ac:dyDescent="0.25"/>
    <row r="101" spans="2:11" x14ac:dyDescent="0.25"/>
    <row r="102" spans="2:11" x14ac:dyDescent="0.25"/>
    <row r="103" spans="2:11" ht="13.8" thickBot="1" x14ac:dyDescent="0.3"/>
    <row r="104" spans="2:11" ht="14.4" thickBot="1" x14ac:dyDescent="0.35">
      <c r="B104" s="2" t="s">
        <v>39</v>
      </c>
      <c r="J104" s="55" t="s">
        <v>83</v>
      </c>
      <c r="K104" s="54">
        <v>4</v>
      </c>
    </row>
    <row r="105" spans="2:11" ht="13.8" x14ac:dyDescent="0.3">
      <c r="B105" s="1"/>
    </row>
    <row r="106" spans="2:11" ht="14.4" thickBot="1" x14ac:dyDescent="0.35">
      <c r="B106" s="1"/>
    </row>
    <row r="107" spans="2:11" ht="14.4" thickBot="1" x14ac:dyDescent="0.35">
      <c r="B107" s="2" t="s">
        <v>40</v>
      </c>
      <c r="J107" s="55" t="s">
        <v>83</v>
      </c>
      <c r="K107" s="54">
        <v>4</v>
      </c>
    </row>
    <row r="108" spans="2:11" ht="13.8" x14ac:dyDescent="0.3">
      <c r="B108" s="3" t="s">
        <v>41</v>
      </c>
    </row>
    <row r="109" spans="2:11" ht="13.8" x14ac:dyDescent="0.3">
      <c r="B109" s="3" t="s">
        <v>42</v>
      </c>
    </row>
    <row r="110" spans="2:11" ht="13.8" x14ac:dyDescent="0.3">
      <c r="B110" s="3" t="s">
        <v>43</v>
      </c>
    </row>
    <row r="111" spans="2:11" ht="13.8" x14ac:dyDescent="0.3">
      <c r="B111" s="3" t="s">
        <v>44</v>
      </c>
    </row>
    <row r="112" spans="2:11" ht="13.8" x14ac:dyDescent="0.3">
      <c r="B112" s="3" t="s">
        <v>45</v>
      </c>
    </row>
    <row r="113" spans="2:11" ht="13.8" x14ac:dyDescent="0.3">
      <c r="B113" s="1"/>
    </row>
    <row r="114" spans="2:11" ht="13.8" x14ac:dyDescent="0.3">
      <c r="B114" s="1"/>
    </row>
    <row r="115" spans="2:11" ht="14.4" thickBot="1" x14ac:dyDescent="0.35">
      <c r="B115" s="1"/>
    </row>
    <row r="116" spans="2:11" ht="14.4" thickBot="1" x14ac:dyDescent="0.35">
      <c r="B116" s="2" t="s">
        <v>46</v>
      </c>
      <c r="J116" s="55" t="s">
        <v>83</v>
      </c>
      <c r="K116" s="54">
        <v>2</v>
      </c>
    </row>
    <row r="117" spans="2:11" x14ac:dyDescent="0.25"/>
    <row r="118" spans="2:11" ht="13.8" x14ac:dyDescent="0.3">
      <c r="B118" s="36" t="s">
        <v>95</v>
      </c>
    </row>
    <row r="119" spans="2:11" x14ac:dyDescent="0.25"/>
    <row r="120" spans="2:11" x14ac:dyDescent="0.25"/>
    <row r="121" spans="2:11" x14ac:dyDescent="0.25">
      <c r="B121" s="97" t="s">
        <v>119</v>
      </c>
      <c r="C121" s="97" t="s">
        <v>4</v>
      </c>
      <c r="D121" s="97" t="s">
        <v>120</v>
      </c>
      <c r="E121" s="97" t="s">
        <v>121</v>
      </c>
      <c r="F121" s="97" t="s">
        <v>122</v>
      </c>
      <c r="G121" s="41"/>
      <c r="H121" s="42"/>
    </row>
    <row r="122" spans="2:11" ht="14.4" x14ac:dyDescent="0.3">
      <c r="B122" s="97" t="s">
        <v>123</v>
      </c>
      <c r="C122" s="97" t="s">
        <v>5</v>
      </c>
      <c r="D122" s="97">
        <v>21</v>
      </c>
      <c r="E122" s="97" t="s">
        <v>124</v>
      </c>
      <c r="F122" s="97" t="s">
        <v>125</v>
      </c>
      <c r="G122" s="96"/>
      <c r="H122" s="45"/>
    </row>
    <row r="123" spans="2:11" ht="14.4" x14ac:dyDescent="0.3">
      <c r="B123" s="97" t="s">
        <v>126</v>
      </c>
      <c r="C123" s="97" t="s">
        <v>16</v>
      </c>
      <c r="D123" s="97">
        <v>22</v>
      </c>
      <c r="E123" s="97" t="s">
        <v>127</v>
      </c>
      <c r="F123" s="97" t="s">
        <v>128</v>
      </c>
      <c r="G123" s="96"/>
      <c r="H123" s="45"/>
    </row>
    <row r="124" spans="2:11" ht="14.4" x14ac:dyDescent="0.3">
      <c r="B124" s="97" t="s">
        <v>129</v>
      </c>
      <c r="C124" s="97" t="s">
        <v>5</v>
      </c>
      <c r="D124" s="97">
        <v>30</v>
      </c>
      <c r="E124" s="97" t="s">
        <v>130</v>
      </c>
      <c r="F124" s="97" t="s">
        <v>131</v>
      </c>
      <c r="G124" s="96"/>
      <c r="H124" s="45"/>
    </row>
    <row r="125" spans="2:11" ht="14.4" x14ac:dyDescent="0.3">
      <c r="B125" s="97" t="s">
        <v>132</v>
      </c>
      <c r="C125" s="97" t="s">
        <v>5</v>
      </c>
      <c r="D125" s="97">
        <v>24</v>
      </c>
      <c r="E125" s="97" t="s">
        <v>133</v>
      </c>
      <c r="F125" s="97" t="s">
        <v>134</v>
      </c>
      <c r="G125" s="96"/>
      <c r="H125" s="45"/>
    </row>
    <row r="126" spans="2:11" ht="14.4" x14ac:dyDescent="0.3">
      <c r="B126" s="97" t="s">
        <v>135</v>
      </c>
      <c r="C126" s="97" t="s">
        <v>5</v>
      </c>
      <c r="D126" s="97">
        <v>19</v>
      </c>
      <c r="E126" s="97" t="s">
        <v>136</v>
      </c>
      <c r="F126" s="97" t="s">
        <v>137</v>
      </c>
      <c r="G126" s="96"/>
      <c r="H126" s="45"/>
    </row>
    <row r="127" spans="2:11" ht="14.4" x14ac:dyDescent="0.3">
      <c r="B127" s="97" t="s">
        <v>138</v>
      </c>
      <c r="C127" s="97" t="s">
        <v>16</v>
      </c>
      <c r="D127" s="97">
        <v>32</v>
      </c>
      <c r="E127" s="97" t="s">
        <v>139</v>
      </c>
      <c r="F127" s="97" t="s">
        <v>137</v>
      </c>
      <c r="G127" s="96"/>
      <c r="H127" s="45"/>
    </row>
    <row r="128" spans="2:11" ht="14.4" x14ac:dyDescent="0.3">
      <c r="B128" s="97" t="s">
        <v>140</v>
      </c>
      <c r="C128" s="97" t="s">
        <v>5</v>
      </c>
      <c r="D128" s="97">
        <v>22</v>
      </c>
      <c r="E128" s="97" t="s">
        <v>139</v>
      </c>
      <c r="F128" s="97" t="s">
        <v>141</v>
      </c>
      <c r="G128" s="96"/>
      <c r="H128" s="45"/>
    </row>
    <row r="129" spans="2:8" ht="14.4" x14ac:dyDescent="0.3">
      <c r="B129" s="97" t="s">
        <v>142</v>
      </c>
      <c r="C129" s="97" t="s">
        <v>16</v>
      </c>
      <c r="D129" s="97">
        <v>42</v>
      </c>
      <c r="E129" s="97" t="s">
        <v>124</v>
      </c>
      <c r="F129" s="97" t="s">
        <v>143</v>
      </c>
      <c r="G129" s="96"/>
      <c r="H129" s="45"/>
    </row>
    <row r="130" spans="2:8" ht="14.4" x14ac:dyDescent="0.3">
      <c r="B130" s="97" t="s">
        <v>144</v>
      </c>
      <c r="C130" s="97" t="s">
        <v>16</v>
      </c>
      <c r="D130" s="97">
        <v>25</v>
      </c>
      <c r="E130" s="97" t="s">
        <v>145</v>
      </c>
      <c r="F130" s="97" t="s">
        <v>143</v>
      </c>
      <c r="G130" s="96"/>
      <c r="H130" s="45"/>
    </row>
    <row r="131" spans="2:8" ht="14.4" x14ac:dyDescent="0.3">
      <c r="B131" s="97" t="s">
        <v>146</v>
      </c>
      <c r="C131" s="97" t="s">
        <v>16</v>
      </c>
      <c r="D131" s="97">
        <v>24</v>
      </c>
      <c r="E131" s="97" t="s">
        <v>133</v>
      </c>
      <c r="F131" s="97" t="s">
        <v>134</v>
      </c>
      <c r="G131" s="96"/>
      <c r="H131" s="45"/>
    </row>
    <row r="132" spans="2:8" ht="14.4" x14ac:dyDescent="0.3">
      <c r="B132" s="97" t="s">
        <v>15</v>
      </c>
      <c r="C132" s="97" t="s">
        <v>16</v>
      </c>
      <c r="D132" s="97">
        <v>38</v>
      </c>
      <c r="E132" s="97" t="s">
        <v>133</v>
      </c>
      <c r="F132" s="97" t="s">
        <v>147</v>
      </c>
      <c r="G132" s="96"/>
      <c r="H132" s="45"/>
    </row>
    <row r="133" spans="2:8" ht="14.4" x14ac:dyDescent="0.3">
      <c r="B133" s="97" t="s">
        <v>15</v>
      </c>
      <c r="C133" s="97" t="s">
        <v>16</v>
      </c>
      <c r="D133" s="97">
        <v>28</v>
      </c>
      <c r="E133" s="97" t="s">
        <v>148</v>
      </c>
      <c r="F133" s="97" t="s">
        <v>147</v>
      </c>
      <c r="G133" s="96"/>
      <c r="H133" s="45"/>
    </row>
    <row r="134" spans="2:8" ht="14.4" x14ac:dyDescent="0.3">
      <c r="B134" s="97" t="s">
        <v>126</v>
      </c>
      <c r="C134" s="97" t="s">
        <v>16</v>
      </c>
      <c r="D134" s="97">
        <v>30</v>
      </c>
      <c r="E134" s="97" t="s">
        <v>149</v>
      </c>
      <c r="F134" s="97" t="s">
        <v>128</v>
      </c>
      <c r="G134" s="96"/>
      <c r="H134" s="45"/>
    </row>
    <row r="135" spans="2:8" ht="14.4" x14ac:dyDescent="0.3">
      <c r="B135" s="43"/>
      <c r="C135" s="96"/>
      <c r="D135" s="96"/>
      <c r="E135" s="96"/>
      <c r="F135" s="96"/>
      <c r="G135" s="96"/>
      <c r="H135" s="45"/>
    </row>
    <row r="136" spans="2:8" x14ac:dyDescent="0.25">
      <c r="B136" s="43"/>
      <c r="C136" s="44"/>
      <c r="D136" s="44"/>
      <c r="E136" s="44"/>
      <c r="F136" s="44"/>
      <c r="G136" s="44"/>
      <c r="H136" s="45"/>
    </row>
    <row r="137" spans="2:8" x14ac:dyDescent="0.25">
      <c r="B137" s="43"/>
      <c r="C137" s="44"/>
      <c r="D137" s="44"/>
      <c r="E137" s="44"/>
      <c r="F137" s="44"/>
      <c r="G137" s="44"/>
      <c r="H137" s="45"/>
    </row>
    <row r="138" spans="2:8" x14ac:dyDescent="0.25">
      <c r="B138" s="46"/>
      <c r="C138" s="47"/>
      <c r="D138" s="47"/>
      <c r="E138" s="47"/>
      <c r="F138" s="47"/>
      <c r="G138" s="47"/>
      <c r="H138" s="48"/>
    </row>
    <row r="139" spans="2:8" x14ac:dyDescent="0.25"/>
    <row r="140" spans="2:8" x14ac:dyDescent="0.25"/>
    <row r="145" x14ac:dyDescent="0.25"/>
    <row r="146" x14ac:dyDescent="0.25"/>
    <row r="147" x14ac:dyDescent="0.25"/>
    <row r="148" x14ac:dyDescent="0.25"/>
    <row r="149" x14ac:dyDescent="0.25"/>
  </sheetData>
  <sortState xmlns:xlrd2="http://schemas.microsoft.com/office/spreadsheetml/2017/richdata2" ref="B5:G17">
    <sortCondition ref="G5:G17"/>
  </sortState>
  <mergeCells count="1">
    <mergeCell ref="A1:C1"/>
  </mergeCells>
  <conditionalFormatting sqref="B24">
    <cfRule type="cellIs" dxfId="66" priority="12" operator="equal">
      <formula>2800</formula>
    </cfRule>
  </conditionalFormatting>
  <conditionalFormatting sqref="B24">
    <cfRule type="containsText" dxfId="65" priority="11" operator="containsText" text="2800">
      <formula>NOT(ISERROR(SEARCH("2800",B24)))</formula>
    </cfRule>
  </conditionalFormatting>
  <conditionalFormatting sqref="D135">
    <cfRule type="cellIs" dxfId="64" priority="7" operator="equal">
      <formula>"M"</formula>
    </cfRule>
    <cfRule type="cellIs" dxfId="63" priority="8" operator="equal">
      <formula>"F"</formula>
    </cfRule>
  </conditionalFormatting>
  <conditionalFormatting sqref="C135">
    <cfRule type="duplicateValues" dxfId="62" priority="6"/>
  </conditionalFormatting>
  <conditionalFormatting sqref="D122:D134">
    <cfRule type="cellIs" dxfId="61" priority="4" operator="greaterThan">
      <formula>20</formula>
    </cfRule>
    <cfRule type="cellIs" dxfId="60" priority="5" operator="lessThan">
      <formula>20</formula>
    </cfRule>
  </conditionalFormatting>
  <conditionalFormatting sqref="C122:C134">
    <cfRule type="containsText" dxfId="59" priority="2" operator="containsText" text="m">
      <formula>NOT(ISERROR(SEARCH("m",C122)))</formula>
    </cfRule>
    <cfRule type="containsText" dxfId="58" priority="3" operator="containsText" text="f">
      <formula>NOT(ISERROR(SEARCH("f",C122)))</formula>
    </cfRule>
  </conditionalFormatting>
  <conditionalFormatting sqref="B122:B134">
    <cfRule type="duplicateValues" dxfId="57" priority="1"/>
  </conditionalFormatting>
  <pageMargins left="0.7" right="0.7" top="0.75" bottom="0.75" header="0.3" footer="0.3"/>
  <pageSetup scale="10" orientation="portrait" horizontalDpi="300" verticalDpi="30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3:BS285"/>
  <sheetViews>
    <sheetView showGridLines="0" topLeftCell="D1" zoomScale="30" zoomScaleNormal="30" workbookViewId="0">
      <selection activeCell="D20" sqref="D20"/>
    </sheetView>
  </sheetViews>
  <sheetFormatPr defaultColWidth="9.109375" defaultRowHeight="13.2" x14ac:dyDescent="0.25"/>
  <cols>
    <col min="1" max="1" width="9.109375" style="18"/>
    <col min="2" max="2" width="6.88671875" style="18" bestFit="1" customWidth="1"/>
    <col min="3" max="3" width="8.6640625" style="35" bestFit="1" customWidth="1"/>
    <col min="4" max="4" width="6.5546875" style="18" bestFit="1" customWidth="1"/>
    <col min="5" max="5" width="97.6640625" style="18" customWidth="1"/>
    <col min="6" max="6" width="62.44140625" style="18" customWidth="1"/>
    <col min="7" max="7" width="17" style="18" bestFit="1" customWidth="1"/>
    <col min="8" max="8" width="15" style="18" customWidth="1"/>
    <col min="9" max="9" width="10.77734375" style="18" bestFit="1" customWidth="1"/>
    <col min="10" max="14" width="9.109375" style="18"/>
    <col min="15" max="15" width="8.77734375" style="18" customWidth="1"/>
    <col min="16" max="16" width="13.109375" style="18" bestFit="1" customWidth="1"/>
    <col min="17" max="17" width="15.5546875" style="18" customWidth="1"/>
    <col min="18" max="18" width="19.77734375" style="18" customWidth="1"/>
    <col min="19" max="19" width="8.33203125" style="18" customWidth="1"/>
    <col min="20" max="20" width="8.77734375" style="18" customWidth="1"/>
    <col min="21" max="21" width="9" style="18" customWidth="1"/>
    <col min="22" max="22" width="8.77734375" style="18" customWidth="1"/>
    <col min="23" max="23" width="9.21875" style="18" customWidth="1"/>
    <col min="24" max="24" width="8.44140625" style="18" customWidth="1"/>
    <col min="25" max="25" width="7.88671875" style="18" customWidth="1"/>
    <col min="26" max="26" width="8.88671875" style="18" customWidth="1"/>
    <col min="27" max="27" width="8.77734375" style="18" customWidth="1"/>
    <col min="28" max="28" width="8.44140625" style="18" customWidth="1"/>
    <col min="29" max="29" width="8.88671875" style="18" customWidth="1"/>
    <col min="30" max="30" width="8.77734375" style="18" customWidth="1"/>
    <col min="31" max="31" width="8.33203125" style="18" customWidth="1"/>
    <col min="32" max="32" width="8.77734375" style="18" customWidth="1"/>
    <col min="33" max="33" width="9" style="18" customWidth="1"/>
    <col min="34" max="34" width="8.77734375" style="18" customWidth="1"/>
    <col min="35" max="35" width="9.21875" style="18" customWidth="1"/>
    <col min="36" max="36" width="8.44140625" style="18" customWidth="1"/>
    <col min="37" max="37" width="7.88671875" style="18" customWidth="1"/>
    <col min="38" max="38" width="8.88671875" style="18" customWidth="1"/>
    <col min="39" max="39" width="8.77734375" style="18" customWidth="1"/>
    <col min="40" max="40" width="8.44140625" style="18" customWidth="1"/>
    <col min="41" max="41" width="8.88671875" style="18" customWidth="1"/>
    <col min="42" max="42" width="8.77734375" style="18" customWidth="1"/>
    <col min="43" max="44" width="14.6640625" style="18" bestFit="1" customWidth="1"/>
    <col min="45" max="46" width="9.109375" style="18"/>
    <col min="47" max="47" width="12.5546875" style="18" bestFit="1" customWidth="1"/>
    <col min="48" max="52" width="12.33203125" style="18" bestFit="1" customWidth="1"/>
    <col min="53" max="53" width="8.44140625" style="18" customWidth="1"/>
    <col min="54" max="54" width="7.77734375" style="18" customWidth="1"/>
    <col min="55" max="55" width="8.88671875" style="18" customWidth="1"/>
    <col min="56" max="56" width="8.6640625" style="18" customWidth="1"/>
    <col min="57" max="57" width="8.44140625" style="18" customWidth="1"/>
    <col min="58" max="58" width="9" style="18" customWidth="1"/>
    <col min="59" max="59" width="8.6640625" style="18" customWidth="1"/>
    <col min="60" max="60" width="8.33203125" style="18" customWidth="1"/>
    <col min="61" max="61" width="8.5546875" style="18" customWidth="1"/>
    <col min="62" max="62" width="9" style="18" customWidth="1"/>
    <col min="63" max="63" width="8.5546875" style="18" customWidth="1"/>
    <col min="64" max="64" width="9.33203125" style="18" customWidth="1"/>
    <col min="65" max="65" width="8.44140625" style="18" customWidth="1"/>
    <col min="66" max="66" width="7.77734375" style="18" customWidth="1"/>
    <col min="67" max="67" width="8.88671875" style="18" customWidth="1"/>
    <col min="68" max="68" width="8.6640625" style="18" customWidth="1"/>
    <col min="69" max="69" width="8.44140625" style="18" customWidth="1"/>
    <col min="70" max="70" width="9" style="18" customWidth="1"/>
    <col min="71" max="71" width="8.6640625" style="18" customWidth="1"/>
    <col min="72" max="16384" width="9.109375" style="18"/>
  </cols>
  <sheetData>
    <row r="3" spans="2:71" x14ac:dyDescent="0.25">
      <c r="F3" s="118" t="s">
        <v>78</v>
      </c>
      <c r="G3" s="119"/>
      <c r="H3" s="119"/>
      <c r="I3" s="119"/>
      <c r="J3" s="119"/>
      <c r="K3" s="119"/>
      <c r="L3" s="119"/>
    </row>
    <row r="6" spans="2:71" x14ac:dyDescent="0.25">
      <c r="B6" s="57" t="s">
        <v>70</v>
      </c>
      <c r="C6" s="58"/>
    </row>
    <row r="7" spans="2:71" x14ac:dyDescent="0.25">
      <c r="B7" s="59" t="s">
        <v>26</v>
      </c>
      <c r="C7" s="59" t="s">
        <v>27</v>
      </c>
      <c r="D7" s="59" t="s">
        <v>28</v>
      </c>
      <c r="F7" s="60" t="s">
        <v>25</v>
      </c>
    </row>
    <row r="8" spans="2:71" x14ac:dyDescent="0.25">
      <c r="B8" s="59"/>
      <c r="C8" s="59"/>
      <c r="D8" s="59"/>
      <c r="F8" s="60"/>
    </row>
    <row r="9" spans="2:71" x14ac:dyDescent="0.25">
      <c r="B9" s="61">
        <v>6</v>
      </c>
      <c r="C9" s="62">
        <v>6.1</v>
      </c>
      <c r="D9" s="63">
        <v>25</v>
      </c>
      <c r="F9" s="64" t="s">
        <v>103</v>
      </c>
      <c r="S9" s="103"/>
    </row>
    <row r="10" spans="2:71" x14ac:dyDescent="0.25">
      <c r="J10" s="18" t="s">
        <v>192</v>
      </c>
      <c r="O10" s="65" t="s">
        <v>69</v>
      </c>
    </row>
    <row r="11" spans="2:71" ht="14.4" x14ac:dyDescent="0.3">
      <c r="O11" s="111" t="s">
        <v>51</v>
      </c>
      <c r="P11" s="66" t="s">
        <v>52</v>
      </c>
      <c r="Q11" s="66" t="s">
        <v>53</v>
      </c>
      <c r="R11" s="66" t="s">
        <v>54</v>
      </c>
      <c r="S11" s="67" t="s">
        <v>165</v>
      </c>
      <c r="T11" s="67" t="s">
        <v>166</v>
      </c>
      <c r="U11" s="67" t="s">
        <v>167</v>
      </c>
      <c r="V11" s="67" t="s">
        <v>168</v>
      </c>
      <c r="W11" s="67" t="s">
        <v>169</v>
      </c>
      <c r="X11" s="67" t="s">
        <v>170</v>
      </c>
      <c r="Y11" s="67" t="s">
        <v>171</v>
      </c>
      <c r="Z11" s="67" t="s">
        <v>172</v>
      </c>
      <c r="AA11" s="67" t="s">
        <v>173</v>
      </c>
      <c r="AB11" s="67" t="s">
        <v>174</v>
      </c>
      <c r="AC11" s="67" t="s">
        <v>175</v>
      </c>
      <c r="AD11" s="67" t="s">
        <v>176</v>
      </c>
      <c r="AE11" s="67" t="s">
        <v>177</v>
      </c>
      <c r="AF11" s="67" t="s">
        <v>178</v>
      </c>
      <c r="AG11" s="67" t="s">
        <v>179</v>
      </c>
      <c r="AH11" s="67" t="s">
        <v>180</v>
      </c>
      <c r="AI11" s="67" t="s">
        <v>181</v>
      </c>
      <c r="AJ11" s="67" t="s">
        <v>182</v>
      </c>
      <c r="AK11" s="67" t="s">
        <v>183</v>
      </c>
      <c r="AL11" s="67" t="s">
        <v>184</v>
      </c>
      <c r="AM11" s="67" t="s">
        <v>185</v>
      </c>
      <c r="AN11" s="67" t="s">
        <v>186</v>
      </c>
      <c r="AO11" s="67" t="s">
        <v>187</v>
      </c>
      <c r="AP11" s="67" t="s">
        <v>188</v>
      </c>
      <c r="AQ11" s="107" t="s">
        <v>195</v>
      </c>
      <c r="AR11" s="107" t="s">
        <v>196</v>
      </c>
      <c r="AS11" s="107" t="s">
        <v>190</v>
      </c>
      <c r="AU11"/>
      <c r="AV11"/>
      <c r="AW11"/>
      <c r="AX11"/>
      <c r="AY11"/>
      <c r="AZ11"/>
      <c r="BA11"/>
      <c r="BB11"/>
      <c r="BC11"/>
      <c r="BD11"/>
      <c r="BE11"/>
      <c r="BF11"/>
      <c r="BG11"/>
      <c r="BH11"/>
      <c r="BI11"/>
      <c r="BJ11"/>
      <c r="BK11"/>
      <c r="BL11"/>
      <c r="BM11"/>
      <c r="BN11"/>
      <c r="BO11"/>
      <c r="BP11"/>
      <c r="BQ11"/>
      <c r="BR11"/>
      <c r="BS11"/>
    </row>
    <row r="12" spans="2:71" ht="14.4" x14ac:dyDescent="0.3">
      <c r="F12" s="64" t="s">
        <v>104</v>
      </c>
      <c r="O12" s="112" t="s">
        <v>55</v>
      </c>
      <c r="P12" s="25" t="s">
        <v>56</v>
      </c>
      <c r="Q12" s="25" t="s">
        <v>57</v>
      </c>
      <c r="R12" s="25" t="s">
        <v>58</v>
      </c>
      <c r="S12" s="25">
        <v>192</v>
      </c>
      <c r="T12" s="25">
        <v>201</v>
      </c>
      <c r="U12" s="25">
        <v>209</v>
      </c>
      <c r="V12" s="25">
        <v>210</v>
      </c>
      <c r="W12" s="25">
        <v>222</v>
      </c>
      <c r="X12" s="25">
        <v>237</v>
      </c>
      <c r="Y12" s="25">
        <v>256</v>
      </c>
      <c r="Z12" s="25">
        <v>268</v>
      </c>
      <c r="AA12" s="25">
        <v>277</v>
      </c>
      <c r="AB12" s="25">
        <v>299</v>
      </c>
      <c r="AC12" s="25">
        <v>326</v>
      </c>
      <c r="AD12" s="25">
        <v>331</v>
      </c>
      <c r="AE12" s="25">
        <v>336</v>
      </c>
      <c r="AF12" s="25">
        <v>358</v>
      </c>
      <c r="AG12" s="25">
        <v>376</v>
      </c>
      <c r="AH12" s="25">
        <v>394</v>
      </c>
      <c r="AI12" s="25">
        <v>406</v>
      </c>
      <c r="AJ12" s="25">
        <v>443</v>
      </c>
      <c r="AK12" s="25">
        <v>481</v>
      </c>
      <c r="AL12" s="25">
        <v>502</v>
      </c>
      <c r="AM12" s="25">
        <v>516</v>
      </c>
      <c r="AN12" s="25">
        <v>517</v>
      </c>
      <c r="AO12" s="25">
        <v>564</v>
      </c>
      <c r="AP12" s="25">
        <v>587</v>
      </c>
      <c r="AQ12" s="25">
        <f>SUM(S12:AD12)</f>
        <v>3028</v>
      </c>
      <c r="AR12" s="25">
        <f>SUM(AE12:AP12)</f>
        <v>5480</v>
      </c>
      <c r="AS12" s="25">
        <f>AQ12+AR12</f>
        <v>8508</v>
      </c>
      <c r="AU12"/>
      <c r="AV12"/>
      <c r="AW12"/>
      <c r="AX12"/>
      <c r="AY12"/>
      <c r="AZ12"/>
      <c r="BA12"/>
      <c r="BB12"/>
      <c r="BC12"/>
      <c r="BD12"/>
      <c r="BE12"/>
      <c r="BF12"/>
      <c r="BG12"/>
      <c r="BH12"/>
      <c r="BI12"/>
      <c r="BJ12"/>
      <c r="BK12"/>
      <c r="BL12"/>
      <c r="BM12"/>
      <c r="BN12"/>
      <c r="BO12"/>
      <c r="BP12"/>
      <c r="BQ12"/>
      <c r="BR12"/>
      <c r="BS12"/>
    </row>
    <row r="13" spans="2:71" ht="14.4" x14ac:dyDescent="0.3">
      <c r="O13" s="112" t="s">
        <v>55</v>
      </c>
      <c r="P13" s="25" t="s">
        <v>56</v>
      </c>
      <c r="Q13" s="25" t="s">
        <v>57</v>
      </c>
      <c r="R13" s="25" t="s">
        <v>59</v>
      </c>
      <c r="S13" s="25">
        <v>784</v>
      </c>
      <c r="T13" s="25">
        <v>821</v>
      </c>
      <c r="U13" s="25">
        <v>890</v>
      </c>
      <c r="V13" s="25">
        <v>962</v>
      </c>
      <c r="W13" s="68">
        <v>1014</v>
      </c>
      <c r="X13" s="68">
        <v>1077</v>
      </c>
      <c r="Y13" s="68">
        <v>1078</v>
      </c>
      <c r="Z13" s="68">
        <v>1097</v>
      </c>
      <c r="AA13" s="68">
        <v>1185</v>
      </c>
      <c r="AB13" s="68">
        <v>1231</v>
      </c>
      <c r="AC13" s="68">
        <v>1302</v>
      </c>
      <c r="AD13" s="68">
        <v>1414</v>
      </c>
      <c r="AE13" s="68">
        <v>1517</v>
      </c>
      <c r="AF13" s="68">
        <v>1615</v>
      </c>
      <c r="AG13" s="68">
        <v>1615</v>
      </c>
      <c r="AH13" s="68">
        <v>1738</v>
      </c>
      <c r="AI13" s="68">
        <v>1860</v>
      </c>
      <c r="AJ13" s="68">
        <v>1949</v>
      </c>
      <c r="AK13" s="68">
        <v>2129</v>
      </c>
      <c r="AL13" s="68">
        <v>2253</v>
      </c>
      <c r="AM13" s="68">
        <v>2472</v>
      </c>
      <c r="AN13" s="68">
        <v>2648</v>
      </c>
      <c r="AO13" s="68">
        <v>2781</v>
      </c>
      <c r="AP13" s="68">
        <v>2966</v>
      </c>
      <c r="AQ13" s="25">
        <f t="shared" ref="AQ13:AQ76" si="0">SUM(S13:AD13)</f>
        <v>12855</v>
      </c>
      <c r="AR13" s="25">
        <f t="shared" ref="AR13:AR76" si="1">SUM(AE13:AP13)</f>
        <v>25543</v>
      </c>
      <c r="AS13" s="25">
        <f t="shared" ref="AS13:AS76" si="2">AQ13+AR13</f>
        <v>38398</v>
      </c>
      <c r="AU13"/>
      <c r="AV13"/>
      <c r="AW13"/>
      <c r="AX13"/>
      <c r="AY13"/>
      <c r="AZ13"/>
      <c r="BA13"/>
      <c r="BB13"/>
      <c r="BC13"/>
      <c r="BD13"/>
      <c r="BE13"/>
      <c r="BF13"/>
      <c r="BG13"/>
      <c r="BH13"/>
      <c r="BI13"/>
      <c r="BJ13"/>
      <c r="BK13"/>
      <c r="BL13"/>
      <c r="BM13"/>
      <c r="BN13"/>
      <c r="BO13"/>
      <c r="BP13"/>
      <c r="BQ13"/>
      <c r="BR13"/>
      <c r="BS13"/>
    </row>
    <row r="14" spans="2:71" ht="14.4" x14ac:dyDescent="0.3">
      <c r="F14" s="73"/>
      <c r="G14" s="74"/>
      <c r="H14" s="74"/>
      <c r="I14" s="74"/>
      <c r="J14" s="74"/>
      <c r="K14" s="74"/>
      <c r="L14" s="75"/>
      <c r="O14" s="112" t="s">
        <v>55</v>
      </c>
      <c r="P14" s="25" t="s">
        <v>56</v>
      </c>
      <c r="Q14" s="25" t="s">
        <v>57</v>
      </c>
      <c r="R14" s="25" t="s">
        <v>60</v>
      </c>
      <c r="S14" s="25">
        <v>764</v>
      </c>
      <c r="T14" s="25">
        <v>789</v>
      </c>
      <c r="U14" s="25">
        <v>832</v>
      </c>
      <c r="V14" s="25">
        <v>862</v>
      </c>
      <c r="W14" s="25">
        <v>876</v>
      </c>
      <c r="X14" s="25">
        <v>933</v>
      </c>
      <c r="Y14" s="25">
        <v>940</v>
      </c>
      <c r="Z14" s="25">
        <v>981</v>
      </c>
      <c r="AA14" s="68">
        <v>1072</v>
      </c>
      <c r="AB14" s="68">
        <v>1091</v>
      </c>
      <c r="AC14" s="68">
        <v>1153</v>
      </c>
      <c r="AD14" s="68">
        <v>1201</v>
      </c>
      <c r="AE14" s="68">
        <v>1307</v>
      </c>
      <c r="AF14" s="68">
        <v>1320</v>
      </c>
      <c r="AG14" s="68">
        <v>1402</v>
      </c>
      <c r="AH14" s="68">
        <v>1530</v>
      </c>
      <c r="AI14" s="68">
        <v>1566</v>
      </c>
      <c r="AJ14" s="68">
        <v>1589</v>
      </c>
      <c r="AK14" s="68">
        <v>1642</v>
      </c>
      <c r="AL14" s="68">
        <v>1745</v>
      </c>
      <c r="AM14" s="68">
        <v>1848</v>
      </c>
      <c r="AN14" s="68">
        <v>1932</v>
      </c>
      <c r="AO14" s="68">
        <v>2072</v>
      </c>
      <c r="AP14" s="68">
        <v>2119</v>
      </c>
      <c r="AQ14" s="25">
        <f t="shared" si="0"/>
        <v>11494</v>
      </c>
      <c r="AR14" s="25">
        <f t="shared" si="1"/>
        <v>20072</v>
      </c>
      <c r="AS14" s="25">
        <f t="shared" si="2"/>
        <v>31566</v>
      </c>
      <c r="AU14"/>
      <c r="AV14"/>
      <c r="AW14"/>
      <c r="AX14"/>
      <c r="AY14"/>
      <c r="AZ14"/>
      <c r="BA14"/>
      <c r="BB14"/>
      <c r="BC14"/>
      <c r="BD14"/>
      <c r="BE14"/>
      <c r="BF14"/>
      <c r="BG14"/>
      <c r="BH14"/>
      <c r="BI14"/>
      <c r="BJ14"/>
      <c r="BK14"/>
      <c r="BL14"/>
      <c r="BM14"/>
      <c r="BN14"/>
      <c r="BO14"/>
      <c r="BP14"/>
      <c r="BQ14"/>
      <c r="BR14"/>
      <c r="BS14"/>
    </row>
    <row r="15" spans="2:71" ht="14.4" x14ac:dyDescent="0.3">
      <c r="F15" s="76"/>
      <c r="G15" s="77"/>
      <c r="H15" s="77"/>
      <c r="I15" s="77"/>
      <c r="J15" s="77"/>
      <c r="K15" s="77"/>
      <c r="L15" s="78"/>
      <c r="O15" s="112" t="s">
        <v>55</v>
      </c>
      <c r="P15" s="25" t="s">
        <v>56</v>
      </c>
      <c r="Q15" s="25" t="s">
        <v>57</v>
      </c>
      <c r="R15" s="25" t="s">
        <v>61</v>
      </c>
      <c r="S15" s="25">
        <v>676</v>
      </c>
      <c r="T15" s="25">
        <v>717</v>
      </c>
      <c r="U15" s="25">
        <v>764</v>
      </c>
      <c r="V15" s="25">
        <v>792</v>
      </c>
      <c r="W15" s="25">
        <v>841</v>
      </c>
      <c r="X15" s="25">
        <v>841</v>
      </c>
      <c r="Y15" s="25">
        <v>900</v>
      </c>
      <c r="Z15" s="25">
        <v>920</v>
      </c>
      <c r="AA15" s="68">
        <v>1008</v>
      </c>
      <c r="AB15" s="68">
        <v>1071</v>
      </c>
      <c r="AC15" s="68">
        <v>1157</v>
      </c>
      <c r="AD15" s="68">
        <v>1264</v>
      </c>
      <c r="AE15" s="68">
        <v>1276</v>
      </c>
      <c r="AF15" s="68">
        <v>1313</v>
      </c>
      <c r="AG15" s="68">
        <v>1425</v>
      </c>
      <c r="AH15" s="68">
        <v>1502</v>
      </c>
      <c r="AI15" s="68">
        <v>1562</v>
      </c>
      <c r="AJ15" s="68">
        <v>1676</v>
      </c>
      <c r="AK15" s="68">
        <v>1765</v>
      </c>
      <c r="AL15" s="68">
        <v>1796</v>
      </c>
      <c r="AM15" s="68">
        <v>1885</v>
      </c>
      <c r="AN15" s="68">
        <v>1920</v>
      </c>
      <c r="AO15" s="68">
        <v>1924</v>
      </c>
      <c r="AP15" s="68">
        <v>2021</v>
      </c>
      <c r="AQ15" s="25">
        <f t="shared" si="0"/>
        <v>10951</v>
      </c>
      <c r="AR15" s="25">
        <f t="shared" si="1"/>
        <v>20065</v>
      </c>
      <c r="AS15" s="25">
        <f t="shared" si="2"/>
        <v>31016</v>
      </c>
      <c r="AU15"/>
      <c r="AV15"/>
      <c r="AW15"/>
      <c r="AX15"/>
      <c r="AY15"/>
      <c r="AZ15"/>
      <c r="BA15"/>
      <c r="BB15"/>
      <c r="BC15"/>
      <c r="BD15"/>
      <c r="BE15"/>
      <c r="BF15"/>
      <c r="BG15"/>
      <c r="BH15"/>
      <c r="BI15"/>
      <c r="BJ15"/>
      <c r="BK15"/>
      <c r="BL15"/>
      <c r="BM15"/>
      <c r="BN15"/>
      <c r="BO15"/>
      <c r="BP15"/>
      <c r="BQ15"/>
      <c r="BR15"/>
      <c r="BS15"/>
    </row>
    <row r="16" spans="2:71" ht="14.4" x14ac:dyDescent="0.3">
      <c r="F16" s="76"/>
      <c r="G16" s="77"/>
      <c r="H16" s="77"/>
      <c r="I16" s="77"/>
      <c r="J16" s="77"/>
      <c r="K16" s="77"/>
      <c r="L16" s="78"/>
      <c r="O16" s="112" t="s">
        <v>55</v>
      </c>
      <c r="P16" s="25" t="s">
        <v>56</v>
      </c>
      <c r="Q16" s="25" t="s">
        <v>62</v>
      </c>
      <c r="R16" s="25" t="s">
        <v>58</v>
      </c>
      <c r="S16" s="25">
        <v>697</v>
      </c>
      <c r="T16" s="25">
        <v>742</v>
      </c>
      <c r="U16" s="25">
        <v>791</v>
      </c>
      <c r="V16" s="25">
        <v>851</v>
      </c>
      <c r="W16" s="25">
        <v>871</v>
      </c>
      <c r="X16" s="25">
        <v>928</v>
      </c>
      <c r="Y16" s="25">
        <v>991</v>
      </c>
      <c r="Z16" s="68">
        <v>1077</v>
      </c>
      <c r="AA16" s="68">
        <v>1089</v>
      </c>
      <c r="AB16" s="68">
        <v>1119</v>
      </c>
      <c r="AC16" s="68">
        <v>1133</v>
      </c>
      <c r="AD16" s="68">
        <v>1169</v>
      </c>
      <c r="AE16" s="68">
        <v>1172</v>
      </c>
      <c r="AF16" s="68">
        <v>1226</v>
      </c>
      <c r="AG16" s="68">
        <v>1314</v>
      </c>
      <c r="AH16" s="68">
        <v>1431</v>
      </c>
      <c r="AI16" s="68">
        <v>1525</v>
      </c>
      <c r="AJ16" s="68">
        <v>1617</v>
      </c>
      <c r="AK16" s="68">
        <v>1657</v>
      </c>
      <c r="AL16" s="68">
        <v>1792</v>
      </c>
      <c r="AM16" s="68">
        <v>1888</v>
      </c>
      <c r="AN16" s="68">
        <v>1925</v>
      </c>
      <c r="AO16" s="68">
        <v>2000</v>
      </c>
      <c r="AP16" s="68">
        <v>2152</v>
      </c>
      <c r="AQ16" s="25">
        <f t="shared" si="0"/>
        <v>11458</v>
      </c>
      <c r="AR16" s="25">
        <f t="shared" si="1"/>
        <v>19699</v>
      </c>
      <c r="AS16" s="25">
        <f t="shared" si="2"/>
        <v>31157</v>
      </c>
      <c r="AU16"/>
      <c r="AV16"/>
      <c r="AW16"/>
    </row>
    <row r="17" spans="6:71" ht="14.4" x14ac:dyDescent="0.3">
      <c r="F17" s="76"/>
      <c r="G17" s="77"/>
      <c r="H17" s="77"/>
      <c r="I17" s="77"/>
      <c r="J17" s="77"/>
      <c r="K17" s="77"/>
      <c r="L17" s="78"/>
      <c r="O17" s="112" t="s">
        <v>55</v>
      </c>
      <c r="P17" s="25" t="s">
        <v>56</v>
      </c>
      <c r="Q17" s="25" t="s">
        <v>62</v>
      </c>
      <c r="R17" s="25" t="s">
        <v>59</v>
      </c>
      <c r="S17" s="25">
        <v>356</v>
      </c>
      <c r="T17" s="25">
        <v>369</v>
      </c>
      <c r="U17" s="25">
        <v>369</v>
      </c>
      <c r="V17" s="25">
        <v>384</v>
      </c>
      <c r="W17" s="25">
        <v>400</v>
      </c>
      <c r="X17" s="25">
        <v>435</v>
      </c>
      <c r="Y17" s="25">
        <v>468</v>
      </c>
      <c r="Z17" s="25">
        <v>499</v>
      </c>
      <c r="AA17" s="25">
        <v>543</v>
      </c>
      <c r="AB17" s="25">
        <v>558</v>
      </c>
      <c r="AC17" s="25">
        <v>607</v>
      </c>
      <c r="AD17" s="25">
        <v>649</v>
      </c>
      <c r="AE17" s="25">
        <v>709</v>
      </c>
      <c r="AF17" s="25">
        <v>745</v>
      </c>
      <c r="AG17" s="25">
        <v>799</v>
      </c>
      <c r="AH17" s="25">
        <v>864</v>
      </c>
      <c r="AI17" s="25">
        <v>897</v>
      </c>
      <c r="AJ17" s="25">
        <v>952</v>
      </c>
      <c r="AK17" s="25">
        <v>953</v>
      </c>
      <c r="AL17" s="68">
        <v>1016</v>
      </c>
      <c r="AM17" s="68">
        <v>1031</v>
      </c>
      <c r="AN17" s="68">
        <v>1100</v>
      </c>
      <c r="AO17" s="68">
        <v>1113</v>
      </c>
      <c r="AP17" s="68">
        <v>1222</v>
      </c>
      <c r="AQ17" s="25">
        <f t="shared" si="0"/>
        <v>5637</v>
      </c>
      <c r="AR17" s="25">
        <f t="shared" si="1"/>
        <v>11401</v>
      </c>
      <c r="AS17" s="25">
        <f t="shared" si="2"/>
        <v>17038</v>
      </c>
      <c r="AU17" t="s">
        <v>189</v>
      </c>
      <c r="AV17" s="104" t="s">
        <v>165</v>
      </c>
      <c r="AW17" s="104" t="s">
        <v>166</v>
      </c>
      <c r="AX17" s="104" t="s">
        <v>167</v>
      </c>
      <c r="AY17" s="104" t="s">
        <v>168</v>
      </c>
      <c r="AZ17" s="104" t="s">
        <v>169</v>
      </c>
      <c r="BA17" s="104" t="s">
        <v>170</v>
      </c>
      <c r="BB17" s="104" t="s">
        <v>171</v>
      </c>
      <c r="BC17" s="104" t="s">
        <v>172</v>
      </c>
      <c r="BD17" s="104" t="s">
        <v>173</v>
      </c>
      <c r="BE17" s="104" t="s">
        <v>174</v>
      </c>
      <c r="BF17" s="104" t="s">
        <v>175</v>
      </c>
      <c r="BG17" s="104" t="s">
        <v>176</v>
      </c>
      <c r="BH17" s="104" t="s">
        <v>177</v>
      </c>
      <c r="BI17" s="104" t="s">
        <v>178</v>
      </c>
      <c r="BJ17" s="104" t="s">
        <v>179</v>
      </c>
      <c r="BK17" s="104" t="s">
        <v>180</v>
      </c>
      <c r="BL17" s="104" t="s">
        <v>181</v>
      </c>
      <c r="BM17" s="104" t="s">
        <v>182</v>
      </c>
      <c r="BN17" s="104" t="s">
        <v>183</v>
      </c>
      <c r="BO17" s="104" t="s">
        <v>184</v>
      </c>
      <c r="BP17" s="104" t="s">
        <v>185</v>
      </c>
      <c r="BQ17" s="104" t="s">
        <v>186</v>
      </c>
      <c r="BR17" s="104" t="s">
        <v>187</v>
      </c>
      <c r="BS17" s="104" t="s">
        <v>188</v>
      </c>
    </row>
    <row r="18" spans="6:71" ht="14.4" x14ac:dyDescent="0.3">
      <c r="F18" s="76"/>
      <c r="G18" s="77"/>
      <c r="H18" s="77"/>
      <c r="I18" s="77"/>
      <c r="J18" s="77"/>
      <c r="K18" s="77"/>
      <c r="L18" s="78"/>
      <c r="O18" s="112" t="s">
        <v>55</v>
      </c>
      <c r="P18" s="25" t="s">
        <v>56</v>
      </c>
      <c r="Q18" s="25" t="s">
        <v>62</v>
      </c>
      <c r="R18" s="25" t="s">
        <v>60</v>
      </c>
      <c r="S18" s="25">
        <v>40</v>
      </c>
      <c r="T18" s="25">
        <v>41</v>
      </c>
      <c r="U18" s="25">
        <v>43</v>
      </c>
      <c r="V18" s="25">
        <v>47</v>
      </c>
      <c r="W18" s="25">
        <v>49</v>
      </c>
      <c r="X18" s="25">
        <v>53</v>
      </c>
      <c r="Y18" s="25">
        <v>56</v>
      </c>
      <c r="Z18" s="25">
        <v>60</v>
      </c>
      <c r="AA18" s="25">
        <v>63</v>
      </c>
      <c r="AB18" s="25">
        <v>65</v>
      </c>
      <c r="AC18" s="25">
        <v>69</v>
      </c>
      <c r="AD18" s="25">
        <v>74</v>
      </c>
      <c r="AE18" s="25">
        <v>80</v>
      </c>
      <c r="AF18" s="25">
        <v>81</v>
      </c>
      <c r="AG18" s="25">
        <v>88</v>
      </c>
      <c r="AH18" s="25">
        <v>95</v>
      </c>
      <c r="AI18" s="25">
        <v>101</v>
      </c>
      <c r="AJ18" s="25">
        <v>105</v>
      </c>
      <c r="AK18" s="25">
        <v>112</v>
      </c>
      <c r="AL18" s="25">
        <v>114</v>
      </c>
      <c r="AM18" s="25">
        <v>124</v>
      </c>
      <c r="AN18" s="25">
        <v>128</v>
      </c>
      <c r="AO18" s="25">
        <v>133</v>
      </c>
      <c r="AP18" s="25">
        <v>139</v>
      </c>
      <c r="AQ18" s="25">
        <f t="shared" si="0"/>
        <v>660</v>
      </c>
      <c r="AR18" s="25">
        <f t="shared" si="1"/>
        <v>1300</v>
      </c>
      <c r="AS18" s="25">
        <f t="shared" si="2"/>
        <v>1960</v>
      </c>
      <c r="AU18" s="94" t="s">
        <v>65</v>
      </c>
      <c r="AV18">
        <f t="shared" ref="AV18:BS18" si="3">SUMIFS(S$12:S$155,$P$12:$P$155,$AU18)</f>
        <v>27337</v>
      </c>
      <c r="AW18">
        <f t="shared" si="3"/>
        <v>28769</v>
      </c>
      <c r="AX18">
        <f t="shared" si="3"/>
        <v>30342</v>
      </c>
      <c r="AY18">
        <f t="shared" si="3"/>
        <v>31997</v>
      </c>
      <c r="AZ18">
        <f t="shared" si="3"/>
        <v>33565</v>
      </c>
      <c r="BA18">
        <f t="shared" si="3"/>
        <v>35170</v>
      </c>
      <c r="BB18">
        <f t="shared" si="3"/>
        <v>37002</v>
      </c>
      <c r="BC18">
        <f t="shared" si="3"/>
        <v>38569</v>
      </c>
      <c r="BD18">
        <f t="shared" si="3"/>
        <v>40505</v>
      </c>
      <c r="BE18">
        <f t="shared" si="3"/>
        <v>42534</v>
      </c>
      <c r="BF18">
        <f t="shared" si="3"/>
        <v>44628</v>
      </c>
      <c r="BG18">
        <f t="shared" si="3"/>
        <v>46592</v>
      </c>
      <c r="BH18">
        <f t="shared" si="3"/>
        <v>49039</v>
      </c>
      <c r="BI18">
        <f t="shared" si="3"/>
        <v>51459</v>
      </c>
      <c r="BJ18">
        <f t="shared" si="3"/>
        <v>53792</v>
      </c>
      <c r="BK18">
        <f t="shared" si="3"/>
        <v>56604</v>
      </c>
      <c r="BL18">
        <f t="shared" si="3"/>
        <v>59505</v>
      </c>
      <c r="BM18">
        <f t="shared" si="3"/>
        <v>62404</v>
      </c>
      <c r="BN18">
        <f t="shared" si="3"/>
        <v>64971</v>
      </c>
      <c r="BO18">
        <f t="shared" si="3"/>
        <v>68625</v>
      </c>
      <c r="BP18">
        <f t="shared" si="3"/>
        <v>71915</v>
      </c>
      <c r="BQ18">
        <f t="shared" si="3"/>
        <v>75831</v>
      </c>
      <c r="BR18">
        <f t="shared" si="3"/>
        <v>79977</v>
      </c>
      <c r="BS18">
        <f t="shared" si="3"/>
        <v>84455</v>
      </c>
    </row>
    <row r="19" spans="6:71" ht="14.4" x14ac:dyDescent="0.3">
      <c r="F19" s="76"/>
      <c r="G19" s="77"/>
      <c r="H19" s="77"/>
      <c r="I19" s="77"/>
      <c r="J19" s="77"/>
      <c r="K19" s="77"/>
      <c r="L19" s="78"/>
      <c r="O19" s="112" t="s">
        <v>55</v>
      </c>
      <c r="P19" s="25" t="s">
        <v>56</v>
      </c>
      <c r="Q19" s="25" t="s">
        <v>62</v>
      </c>
      <c r="R19" s="25" t="s">
        <v>61</v>
      </c>
      <c r="S19" s="25">
        <v>104</v>
      </c>
      <c r="T19" s="25">
        <v>110</v>
      </c>
      <c r="U19" s="25">
        <v>120</v>
      </c>
      <c r="V19" s="25">
        <v>127</v>
      </c>
      <c r="W19" s="25">
        <v>130</v>
      </c>
      <c r="X19" s="25">
        <v>142</v>
      </c>
      <c r="Y19" s="25">
        <v>153</v>
      </c>
      <c r="Z19" s="25">
        <v>159</v>
      </c>
      <c r="AA19" s="25">
        <v>164</v>
      </c>
      <c r="AB19" s="25">
        <v>166</v>
      </c>
      <c r="AC19" s="25">
        <v>182</v>
      </c>
      <c r="AD19" s="25">
        <v>200</v>
      </c>
      <c r="AE19" s="25">
        <v>202</v>
      </c>
      <c r="AF19" s="25">
        <v>213</v>
      </c>
      <c r="AG19" s="25">
        <v>222</v>
      </c>
      <c r="AH19" s="25">
        <v>240</v>
      </c>
      <c r="AI19" s="25">
        <v>253</v>
      </c>
      <c r="AJ19" s="25">
        <v>258</v>
      </c>
      <c r="AK19" s="25">
        <v>261</v>
      </c>
      <c r="AL19" s="25">
        <v>281</v>
      </c>
      <c r="AM19" s="25">
        <v>288</v>
      </c>
      <c r="AN19" s="25">
        <v>301</v>
      </c>
      <c r="AO19" s="25">
        <v>317</v>
      </c>
      <c r="AP19" s="25">
        <v>347</v>
      </c>
      <c r="AQ19" s="25">
        <f t="shared" si="0"/>
        <v>1757</v>
      </c>
      <c r="AR19" s="25">
        <f t="shared" si="1"/>
        <v>3183</v>
      </c>
      <c r="AS19" s="25">
        <f t="shared" si="2"/>
        <v>4940</v>
      </c>
      <c r="AU19" s="94" t="s">
        <v>56</v>
      </c>
      <c r="AV19">
        <f t="shared" ref="AV19:AV20" si="4">SUMIFS(S$12:S$155,$P$12:$P$155,$AU19)</f>
        <v>21951</v>
      </c>
      <c r="AW19">
        <f t="shared" ref="AW19:BF20" si="5">SUMIFS(T$12:T$155,$P$12:$P$155,$AU19)</f>
        <v>23059</v>
      </c>
      <c r="AX19">
        <f t="shared" si="5"/>
        <v>23942</v>
      </c>
      <c r="AY19">
        <f t="shared" si="5"/>
        <v>25039</v>
      </c>
      <c r="AZ19">
        <f t="shared" si="5"/>
        <v>26435</v>
      </c>
      <c r="BA19">
        <f t="shared" si="5"/>
        <v>27760</v>
      </c>
      <c r="BB19">
        <f t="shared" si="5"/>
        <v>28913</v>
      </c>
      <c r="BC19">
        <f t="shared" si="5"/>
        <v>30394</v>
      </c>
      <c r="BD19">
        <f t="shared" si="5"/>
        <v>31908</v>
      </c>
      <c r="BE19">
        <f t="shared" si="5"/>
        <v>33529</v>
      </c>
      <c r="BF19">
        <f t="shared" si="5"/>
        <v>35297</v>
      </c>
      <c r="BG19">
        <f t="shared" ref="BG19:BP20" si="6">SUMIFS(AD$12:AD$155,$P$12:$P$155,$AU19)</f>
        <v>37056</v>
      </c>
      <c r="BH19">
        <f t="shared" si="6"/>
        <v>38818</v>
      </c>
      <c r="BI19">
        <f t="shared" si="6"/>
        <v>40866</v>
      </c>
      <c r="BJ19">
        <f t="shared" si="6"/>
        <v>42882</v>
      </c>
      <c r="BK19">
        <f t="shared" si="6"/>
        <v>45729</v>
      </c>
      <c r="BL19">
        <f t="shared" si="6"/>
        <v>47937</v>
      </c>
      <c r="BM19">
        <f t="shared" si="6"/>
        <v>50275</v>
      </c>
      <c r="BN19">
        <f t="shared" si="6"/>
        <v>52910</v>
      </c>
      <c r="BO19">
        <f t="shared" si="6"/>
        <v>55760</v>
      </c>
      <c r="BP19">
        <f t="shared" si="6"/>
        <v>58255</v>
      </c>
      <c r="BQ19">
        <f t="shared" ref="BQ19:BS20" si="7">SUMIFS(AN$12:AN$155,$P$12:$P$155,$AU19)</f>
        <v>60384</v>
      </c>
      <c r="BR19">
        <f t="shared" si="7"/>
        <v>62998</v>
      </c>
      <c r="BS19">
        <f t="shared" si="7"/>
        <v>66599</v>
      </c>
    </row>
    <row r="20" spans="6:71" ht="14.4" x14ac:dyDescent="0.3">
      <c r="F20" s="76"/>
      <c r="G20" s="77"/>
      <c r="H20" s="77"/>
      <c r="I20" s="77"/>
      <c r="J20" s="77"/>
      <c r="K20" s="77"/>
      <c r="L20" s="78"/>
      <c r="O20" s="112" t="s">
        <v>55</v>
      </c>
      <c r="P20" s="25" t="s">
        <v>56</v>
      </c>
      <c r="Q20" s="25" t="s">
        <v>63</v>
      </c>
      <c r="R20" s="25" t="s">
        <v>58</v>
      </c>
      <c r="S20" s="25">
        <v>336</v>
      </c>
      <c r="T20" s="25">
        <v>369</v>
      </c>
      <c r="U20" s="25">
        <v>391</v>
      </c>
      <c r="V20" s="25">
        <v>427</v>
      </c>
      <c r="W20" s="25">
        <v>469</v>
      </c>
      <c r="X20" s="25">
        <v>497</v>
      </c>
      <c r="Y20" s="25">
        <v>543</v>
      </c>
      <c r="Z20" s="25">
        <v>554</v>
      </c>
      <c r="AA20" s="25">
        <v>576</v>
      </c>
      <c r="AB20" s="25">
        <v>623</v>
      </c>
      <c r="AC20" s="25">
        <v>676</v>
      </c>
      <c r="AD20" s="25">
        <v>709</v>
      </c>
      <c r="AE20" s="25">
        <v>734</v>
      </c>
      <c r="AF20" s="25">
        <v>780</v>
      </c>
      <c r="AG20" s="25">
        <v>816</v>
      </c>
      <c r="AH20" s="25">
        <v>857</v>
      </c>
      <c r="AI20" s="25">
        <v>933</v>
      </c>
      <c r="AJ20" s="68">
        <v>1018</v>
      </c>
      <c r="AK20" s="68">
        <v>1046</v>
      </c>
      <c r="AL20" s="68">
        <v>1078</v>
      </c>
      <c r="AM20" s="68">
        <v>1094</v>
      </c>
      <c r="AN20" s="68">
        <v>1185</v>
      </c>
      <c r="AO20" s="68">
        <v>1217</v>
      </c>
      <c r="AP20" s="68">
        <v>1222</v>
      </c>
      <c r="AQ20" s="25">
        <f t="shared" si="0"/>
        <v>6170</v>
      </c>
      <c r="AR20" s="25">
        <f t="shared" si="1"/>
        <v>11980</v>
      </c>
      <c r="AS20" s="25">
        <f t="shared" si="2"/>
        <v>18150</v>
      </c>
      <c r="AU20" s="94" t="s">
        <v>64</v>
      </c>
      <c r="AV20">
        <f t="shared" si="4"/>
        <v>25714</v>
      </c>
      <c r="AW20">
        <f t="shared" si="5"/>
        <v>26791</v>
      </c>
      <c r="AX20">
        <f t="shared" si="5"/>
        <v>27941</v>
      </c>
      <c r="AY20">
        <f t="shared" si="5"/>
        <v>29486</v>
      </c>
      <c r="AZ20">
        <f t="shared" si="5"/>
        <v>31104</v>
      </c>
      <c r="BA20">
        <f t="shared" si="5"/>
        <v>32641</v>
      </c>
      <c r="BB20">
        <f t="shared" si="5"/>
        <v>34438</v>
      </c>
      <c r="BC20">
        <f t="shared" si="5"/>
        <v>36098</v>
      </c>
      <c r="BD20">
        <f t="shared" si="5"/>
        <v>37951</v>
      </c>
      <c r="BE20">
        <f t="shared" si="5"/>
        <v>39739</v>
      </c>
      <c r="BF20">
        <f t="shared" si="5"/>
        <v>41965</v>
      </c>
      <c r="BG20">
        <f t="shared" si="6"/>
        <v>44383</v>
      </c>
      <c r="BH20">
        <f t="shared" si="6"/>
        <v>46624</v>
      </c>
      <c r="BI20">
        <f t="shared" si="6"/>
        <v>48874</v>
      </c>
      <c r="BJ20">
        <f t="shared" si="6"/>
        <v>51523</v>
      </c>
      <c r="BK20">
        <f t="shared" si="6"/>
        <v>53768</v>
      </c>
      <c r="BL20">
        <f t="shared" si="6"/>
        <v>56558</v>
      </c>
      <c r="BM20">
        <f t="shared" si="6"/>
        <v>58979</v>
      </c>
      <c r="BN20">
        <f t="shared" si="6"/>
        <v>61653</v>
      </c>
      <c r="BO20">
        <f t="shared" si="6"/>
        <v>64490</v>
      </c>
      <c r="BP20">
        <f t="shared" si="6"/>
        <v>67863</v>
      </c>
      <c r="BQ20">
        <f t="shared" si="7"/>
        <v>70844</v>
      </c>
      <c r="BR20">
        <f t="shared" si="7"/>
        <v>74026</v>
      </c>
      <c r="BS20">
        <f t="shared" si="7"/>
        <v>77766</v>
      </c>
    </row>
    <row r="21" spans="6:71" ht="14.4" x14ac:dyDescent="0.3">
      <c r="F21" s="76"/>
      <c r="G21" s="77"/>
      <c r="H21" s="77"/>
      <c r="I21" s="77"/>
      <c r="J21" s="77"/>
      <c r="K21" s="77"/>
      <c r="L21" s="78"/>
      <c r="O21" s="112" t="s">
        <v>55</v>
      </c>
      <c r="P21" s="25" t="s">
        <v>56</v>
      </c>
      <c r="Q21" s="25" t="s">
        <v>63</v>
      </c>
      <c r="R21" s="25" t="s">
        <v>59</v>
      </c>
      <c r="S21" s="25">
        <v>310</v>
      </c>
      <c r="T21" s="25">
        <v>319</v>
      </c>
      <c r="U21" s="25">
        <v>323</v>
      </c>
      <c r="V21" s="25">
        <v>335</v>
      </c>
      <c r="W21" s="25">
        <v>348</v>
      </c>
      <c r="X21" s="25">
        <v>351</v>
      </c>
      <c r="Y21" s="25">
        <v>371</v>
      </c>
      <c r="Z21" s="25">
        <v>389</v>
      </c>
      <c r="AA21" s="25">
        <v>405</v>
      </c>
      <c r="AB21" s="25">
        <v>442</v>
      </c>
      <c r="AC21" s="25">
        <v>442</v>
      </c>
      <c r="AD21" s="25">
        <v>465</v>
      </c>
      <c r="AE21" s="25">
        <v>480</v>
      </c>
      <c r="AF21" s="25">
        <v>497</v>
      </c>
      <c r="AG21" s="25">
        <v>523</v>
      </c>
      <c r="AH21" s="25">
        <v>562</v>
      </c>
      <c r="AI21" s="25">
        <v>611</v>
      </c>
      <c r="AJ21" s="25">
        <v>620</v>
      </c>
      <c r="AK21" s="25">
        <v>655</v>
      </c>
      <c r="AL21" s="25">
        <v>716</v>
      </c>
      <c r="AM21" s="25">
        <v>721</v>
      </c>
      <c r="AN21" s="25">
        <v>753</v>
      </c>
      <c r="AO21" s="25">
        <v>780</v>
      </c>
      <c r="AP21" s="25">
        <v>853</v>
      </c>
      <c r="AQ21" s="25">
        <f t="shared" si="0"/>
        <v>4500</v>
      </c>
      <c r="AR21" s="25">
        <f t="shared" si="1"/>
        <v>7771</v>
      </c>
      <c r="AS21" s="25">
        <f t="shared" si="2"/>
        <v>12271</v>
      </c>
      <c r="AU21" s="94" t="s">
        <v>190</v>
      </c>
      <c r="AV21">
        <f>SUBTOTAL(109,Table1[Jan-08])</f>
        <v>75002</v>
      </c>
      <c r="AW21">
        <f>SUBTOTAL(109,Table1[Feb-08])</f>
        <v>78619</v>
      </c>
      <c r="AX21">
        <f>SUBTOTAL(109,Table1[Mar-08])</f>
        <v>82225</v>
      </c>
      <c r="AY21" s="18">
        <f>SUBTOTAL(109,Table1[Apr-08])</f>
        <v>86522</v>
      </c>
      <c r="AZ21" s="18">
        <f>SUBTOTAL(109,Table1[May-08])</f>
        <v>91104</v>
      </c>
      <c r="BA21" s="18">
        <f>SUBTOTAL(109,Table1[Jun-08])</f>
        <v>95571</v>
      </c>
      <c r="BB21" s="18">
        <f>SUBTOTAL(109,Table1[Jul-08])</f>
        <v>100353</v>
      </c>
      <c r="BC21" s="18">
        <f>SUBTOTAL(109,Table1[Aug-08])</f>
        <v>105061</v>
      </c>
      <c r="BD21" s="18">
        <f>SUBTOTAL(109,Table1[Sep-08])</f>
        <v>110364</v>
      </c>
      <c r="BE21" s="18">
        <f>SUBTOTAL(109,Table1[Oct-08])</f>
        <v>115802</v>
      </c>
      <c r="BF21" s="18">
        <f>SUBTOTAL(109,Table1[Nov-08])</f>
        <v>121890</v>
      </c>
      <c r="BG21" s="18">
        <f>SUBTOTAL(109,Table1[Dec-08])</f>
        <v>128031</v>
      </c>
      <c r="BH21" s="18">
        <f>SUBTOTAL(109,Table1[Jan-09])</f>
        <v>134481</v>
      </c>
      <c r="BI21" s="18">
        <f>SUBTOTAL(109,Table1[Feb-09])</f>
        <v>141199</v>
      </c>
      <c r="BJ21" s="18">
        <f>SUBTOTAL(109,Table1[Mar-09])</f>
        <v>148197</v>
      </c>
      <c r="BK21" s="18">
        <f>SUBTOTAL(109,Table1[Apr-09])</f>
        <v>156101</v>
      </c>
      <c r="BL21" s="18">
        <f>SUBTOTAL(109,Table1[May-09])</f>
        <v>164000</v>
      </c>
      <c r="BM21" s="18">
        <f>SUBTOTAL(109,Table1[Jun-09])</f>
        <v>171658</v>
      </c>
      <c r="BN21" s="18">
        <f>SUBTOTAL(109,Table1[Jul-09])</f>
        <v>179534</v>
      </c>
      <c r="BO21" s="18">
        <f>SUBTOTAL(109,Table1[Aug-09])</f>
        <v>188875</v>
      </c>
      <c r="BP21" s="18">
        <f>SUBTOTAL(109,Table1[Sep-09])</f>
        <v>198033</v>
      </c>
      <c r="BQ21" s="18">
        <f>SUBTOTAL(109,Table1[Oct-09])</f>
        <v>207059</v>
      </c>
      <c r="BR21" s="18">
        <f>SUBTOTAL(109,Table1[Nov-09])</f>
        <v>217001</v>
      </c>
      <c r="BS21" s="18">
        <f>SUBTOTAL(109,Table1[Dec-09])</f>
        <v>228820</v>
      </c>
    </row>
    <row r="22" spans="6:71" ht="14.4" x14ac:dyDescent="0.3">
      <c r="F22" s="76"/>
      <c r="G22" s="77"/>
      <c r="H22" s="77"/>
      <c r="I22" s="77"/>
      <c r="J22" s="77"/>
      <c r="K22" s="77"/>
      <c r="L22" s="78"/>
      <c r="O22" s="112" t="s">
        <v>55</v>
      </c>
      <c r="P22" s="25" t="s">
        <v>56</v>
      </c>
      <c r="Q22" s="25" t="s">
        <v>63</v>
      </c>
      <c r="R22" s="25" t="s">
        <v>60</v>
      </c>
      <c r="S22" s="25">
        <v>727</v>
      </c>
      <c r="T22" s="25">
        <v>742</v>
      </c>
      <c r="U22" s="25">
        <v>798</v>
      </c>
      <c r="V22" s="25">
        <v>866</v>
      </c>
      <c r="W22" s="25">
        <v>882</v>
      </c>
      <c r="X22" s="25">
        <v>930</v>
      </c>
      <c r="Y22" s="68">
        <v>1002</v>
      </c>
      <c r="Z22" s="68">
        <v>1029</v>
      </c>
      <c r="AA22" s="68">
        <v>1104</v>
      </c>
      <c r="AB22" s="68">
        <v>1204</v>
      </c>
      <c r="AC22" s="68">
        <v>1293</v>
      </c>
      <c r="AD22" s="68">
        <v>1315</v>
      </c>
      <c r="AE22" s="68">
        <v>1442</v>
      </c>
      <c r="AF22" s="68">
        <v>1552</v>
      </c>
      <c r="AG22" s="68">
        <v>1572</v>
      </c>
      <c r="AH22" s="68">
        <v>1699</v>
      </c>
      <c r="AI22" s="68">
        <v>1805</v>
      </c>
      <c r="AJ22" s="68">
        <v>1937</v>
      </c>
      <c r="AK22" s="68">
        <v>2069</v>
      </c>
      <c r="AL22" s="68">
        <v>2098</v>
      </c>
      <c r="AM22" s="68">
        <v>2106</v>
      </c>
      <c r="AN22" s="68">
        <v>2133</v>
      </c>
      <c r="AO22" s="68">
        <v>2289</v>
      </c>
      <c r="AP22" s="68">
        <v>2385</v>
      </c>
      <c r="AQ22" s="25">
        <f t="shared" si="0"/>
        <v>11892</v>
      </c>
      <c r="AR22" s="25">
        <f t="shared" si="1"/>
        <v>23087</v>
      </c>
      <c r="AS22" s="25">
        <f t="shared" si="2"/>
        <v>34979</v>
      </c>
      <c r="AU22" t="s">
        <v>191</v>
      </c>
      <c r="AV22"/>
      <c r="AW22" s="106">
        <f>(Table1[[#Totals],[Feb-08]]/Table1[[#Totals],[Jan-08]])-1</f>
        <v>4.8225380656515826E-2</v>
      </c>
      <c r="AX22" s="106">
        <f>(Table1[[#Totals],[Mar-08]]/Table1[[#Totals],[Feb-08]])-1</f>
        <v>4.586677520701099E-2</v>
      </c>
      <c r="AY22" s="106">
        <f>(Table1[[#Totals],[Mar-08]]/Table1[[#Totals],[Feb-08]])-1</f>
        <v>4.586677520701099E-2</v>
      </c>
      <c r="AZ22" s="106">
        <f>(Table1[[#Totals],[Apr-08]]/Table1[[#Totals],[Mar-08]])-1</f>
        <v>5.2259045302523566E-2</v>
      </c>
      <c r="BA22" s="106">
        <f>(Table1[[#Totals],[Apr-08]]/Table1[[#Totals],[Mar-08]])-1</f>
        <v>5.2259045302523566E-2</v>
      </c>
      <c r="BB22" s="106">
        <f>(Table1[[#Totals],[May-08]]/Table1[[#Totals],[Apr-08]])-1</f>
        <v>5.2957629273479467E-2</v>
      </c>
      <c r="BC22" s="106">
        <f>(Table1[[#Totals],[May-08]]/Table1[[#Totals],[Apr-08]])-1</f>
        <v>5.2957629273479467E-2</v>
      </c>
      <c r="BD22" s="106">
        <f>(Table1[[#Totals],[Jun-08]]/Table1[[#Totals],[May-08]])-1</f>
        <v>4.9031875658587909E-2</v>
      </c>
      <c r="BE22" s="106">
        <f>(Table1[[#Totals],[Jun-08]]/Table1[[#Totals],[May-08]])-1</f>
        <v>4.9031875658587909E-2</v>
      </c>
      <c r="BF22" s="106">
        <f>(Table1[[#Totals],[Jul-08]]/Table1[[#Totals],[Jun-08]])-1</f>
        <v>5.003609881658666E-2</v>
      </c>
      <c r="BG22" s="106">
        <f>(Table1[[#Totals],[Jul-08]]/Table1[[#Totals],[Jun-08]])-1</f>
        <v>5.003609881658666E-2</v>
      </c>
      <c r="BH22" s="106">
        <f>(Table1[[#Totals],[Aug-08]]/Table1[[#Totals],[Jul-08]])-1</f>
        <v>4.6914392195549715E-2</v>
      </c>
      <c r="BI22" s="106">
        <f>(Table1[[#Totals],[Aug-08]]/Table1[[#Totals],[Jul-08]])-1</f>
        <v>4.6914392195549715E-2</v>
      </c>
      <c r="BJ22" s="106">
        <f>(Table1[[#Totals],[Sep-08]]/Table1[[#Totals],[Aug-08]])-1</f>
        <v>5.047543807883037E-2</v>
      </c>
      <c r="BK22" s="106">
        <f>(Table1[[#Totals],[Sep-08]]/Table1[[#Totals],[Aug-08]])-1</f>
        <v>5.047543807883037E-2</v>
      </c>
      <c r="BL22" s="106">
        <f>(Table1[[#Totals],[Oct-08]]/Table1[[#Totals],[Sep-08]])-1</f>
        <v>4.9273313761733828E-2</v>
      </c>
      <c r="BM22" s="106">
        <f>(Table1[[#Totals],[Oct-08]]/Table1[[#Totals],[Sep-08]])-1</f>
        <v>4.9273313761733828E-2</v>
      </c>
      <c r="BN22" s="106">
        <f>(Table1[[#Totals],[Nov-08]]/Table1[[#Totals],[Oct-08]])-1</f>
        <v>5.2572494430147998E-2</v>
      </c>
      <c r="BO22" s="106">
        <f>(Table1[[#Totals],[Nov-08]]/Table1[[#Totals],[Oct-08]])-1</f>
        <v>5.2572494430147998E-2</v>
      </c>
      <c r="BP22" s="106">
        <f>(Table1[[#Totals],[Dec-08]]/Table1[[#Totals],[Nov-08]])-1</f>
        <v>5.0381491508737497E-2</v>
      </c>
      <c r="BQ22" s="106">
        <f>(Table1[[#Totals],[Dec-08]]/Table1[[#Totals],[Nov-08]])-1</f>
        <v>5.0381491508737497E-2</v>
      </c>
      <c r="BR22" s="106">
        <f>(Table1[[#Totals],[Jan-09]]/Table1[[#Totals],[Dec-08]])-1</f>
        <v>5.0378423975443454E-2</v>
      </c>
      <c r="BS22" s="106">
        <f>(Table1[[#Totals],[Jan-09]]/Table1[[#Totals],[Dec-08]])-1</f>
        <v>5.0378423975443454E-2</v>
      </c>
    </row>
    <row r="23" spans="6:71" ht="14.4" x14ac:dyDescent="0.3">
      <c r="F23" s="76"/>
      <c r="G23" s="77"/>
      <c r="H23" s="77"/>
      <c r="I23" s="77"/>
      <c r="J23" s="77"/>
      <c r="K23" s="77"/>
      <c r="L23" s="78"/>
      <c r="O23" s="112" t="s">
        <v>55</v>
      </c>
      <c r="P23" s="25" t="s">
        <v>56</v>
      </c>
      <c r="Q23" s="25" t="s">
        <v>63</v>
      </c>
      <c r="R23" s="25" t="s">
        <v>61</v>
      </c>
      <c r="S23" s="25">
        <v>466</v>
      </c>
      <c r="T23" s="25">
        <v>479</v>
      </c>
      <c r="U23" s="25">
        <v>480</v>
      </c>
      <c r="V23" s="25">
        <v>523</v>
      </c>
      <c r="W23" s="25">
        <v>561</v>
      </c>
      <c r="X23" s="25">
        <v>591</v>
      </c>
      <c r="Y23" s="25">
        <v>604</v>
      </c>
      <c r="Z23" s="25">
        <v>635</v>
      </c>
      <c r="AA23" s="25">
        <v>644</v>
      </c>
      <c r="AB23" s="25">
        <v>654</v>
      </c>
      <c r="AC23" s="25">
        <v>684</v>
      </c>
      <c r="AD23" s="25">
        <v>739</v>
      </c>
      <c r="AE23" s="25">
        <v>758</v>
      </c>
      <c r="AF23" s="25">
        <v>782</v>
      </c>
      <c r="AG23" s="25">
        <v>792</v>
      </c>
      <c r="AH23" s="25">
        <v>809</v>
      </c>
      <c r="AI23" s="25">
        <v>856</v>
      </c>
      <c r="AJ23" s="25">
        <v>885</v>
      </c>
      <c r="AK23" s="25">
        <v>954</v>
      </c>
      <c r="AL23" s="68">
        <v>1039</v>
      </c>
      <c r="AM23" s="68">
        <v>1123</v>
      </c>
      <c r="AN23" s="68">
        <v>1149</v>
      </c>
      <c r="AO23" s="68">
        <v>1176</v>
      </c>
      <c r="AP23" s="68">
        <v>1223</v>
      </c>
      <c r="AQ23" s="25">
        <f t="shared" si="0"/>
        <v>7060</v>
      </c>
      <c r="AR23" s="25">
        <f t="shared" si="1"/>
        <v>11546</v>
      </c>
      <c r="AS23" s="25">
        <f t="shared" si="2"/>
        <v>18606</v>
      </c>
      <c r="AU23"/>
      <c r="AV23"/>
      <c r="AW23"/>
      <c r="AX23"/>
      <c r="AY23"/>
    </row>
    <row r="24" spans="6:71" ht="14.4" x14ac:dyDescent="0.3">
      <c r="F24" s="76"/>
      <c r="G24" s="77"/>
      <c r="H24" s="77"/>
      <c r="I24" s="77"/>
      <c r="J24" s="77"/>
      <c r="K24" s="77"/>
      <c r="L24" s="78"/>
      <c r="O24" s="112" t="s">
        <v>55</v>
      </c>
      <c r="P24" s="25" t="s">
        <v>64</v>
      </c>
      <c r="Q24" s="25" t="s">
        <v>57</v>
      </c>
      <c r="R24" s="25" t="s">
        <v>58</v>
      </c>
      <c r="S24" s="25">
        <v>114</v>
      </c>
      <c r="T24" s="25">
        <v>124</v>
      </c>
      <c r="U24" s="25">
        <v>130</v>
      </c>
      <c r="V24" s="25">
        <v>133</v>
      </c>
      <c r="W24" s="25">
        <v>138</v>
      </c>
      <c r="X24" s="25">
        <v>148</v>
      </c>
      <c r="Y24" s="25">
        <v>157</v>
      </c>
      <c r="Z24" s="25">
        <v>168</v>
      </c>
      <c r="AA24" s="25">
        <v>181</v>
      </c>
      <c r="AB24" s="25">
        <v>198</v>
      </c>
      <c r="AC24" s="25">
        <v>206</v>
      </c>
      <c r="AD24" s="25">
        <v>224</v>
      </c>
      <c r="AE24" s="25">
        <v>246</v>
      </c>
      <c r="AF24" s="25">
        <v>257</v>
      </c>
      <c r="AG24" s="25">
        <v>270</v>
      </c>
      <c r="AH24" s="25">
        <v>289</v>
      </c>
      <c r="AI24" s="25">
        <v>310</v>
      </c>
      <c r="AJ24" s="25">
        <v>314</v>
      </c>
      <c r="AK24" s="25">
        <v>333</v>
      </c>
      <c r="AL24" s="25">
        <v>344</v>
      </c>
      <c r="AM24" s="25">
        <v>345</v>
      </c>
      <c r="AN24" s="25">
        <v>377</v>
      </c>
      <c r="AO24" s="25">
        <v>414</v>
      </c>
      <c r="AP24" s="25">
        <v>419</v>
      </c>
      <c r="AQ24" s="25">
        <f t="shared" si="0"/>
        <v>1921</v>
      </c>
      <c r="AR24" s="25">
        <f t="shared" si="1"/>
        <v>3918</v>
      </c>
      <c r="AS24" s="25">
        <f t="shared" si="2"/>
        <v>5839</v>
      </c>
      <c r="AU24"/>
      <c r="AV24"/>
      <c r="AW24"/>
      <c r="AX24"/>
      <c r="AY24"/>
      <c r="AZ24"/>
    </row>
    <row r="25" spans="6:71" ht="14.4" x14ac:dyDescent="0.3">
      <c r="F25" s="76"/>
      <c r="G25" s="77"/>
      <c r="H25" s="77"/>
      <c r="I25" s="77"/>
      <c r="J25" s="77"/>
      <c r="K25" s="77"/>
      <c r="L25" s="78"/>
      <c r="O25" s="112" t="s">
        <v>55</v>
      </c>
      <c r="P25" s="25" t="s">
        <v>64</v>
      </c>
      <c r="Q25" s="25" t="s">
        <v>57</v>
      </c>
      <c r="R25" s="25" t="s">
        <v>59</v>
      </c>
      <c r="S25" s="25">
        <v>801</v>
      </c>
      <c r="T25" s="25">
        <v>826</v>
      </c>
      <c r="U25" s="25">
        <v>887</v>
      </c>
      <c r="V25" s="25">
        <v>976</v>
      </c>
      <c r="W25" s="68">
        <v>1011</v>
      </c>
      <c r="X25" s="68">
        <v>1097</v>
      </c>
      <c r="Y25" s="68">
        <v>1191</v>
      </c>
      <c r="Z25" s="68">
        <v>1255</v>
      </c>
      <c r="AA25" s="68">
        <v>1298</v>
      </c>
      <c r="AB25" s="68">
        <v>1357</v>
      </c>
      <c r="AC25" s="68">
        <v>1481</v>
      </c>
      <c r="AD25" s="68">
        <v>1559</v>
      </c>
      <c r="AE25" s="68">
        <v>1568</v>
      </c>
      <c r="AF25" s="68">
        <v>1610</v>
      </c>
      <c r="AG25" s="68">
        <v>1671</v>
      </c>
      <c r="AH25" s="68">
        <v>1784</v>
      </c>
      <c r="AI25" s="68">
        <v>1936</v>
      </c>
      <c r="AJ25" s="68">
        <v>2128</v>
      </c>
      <c r="AK25" s="68">
        <v>2199</v>
      </c>
      <c r="AL25" s="68">
        <v>2338</v>
      </c>
      <c r="AM25" s="68">
        <v>2551</v>
      </c>
      <c r="AN25" s="68">
        <v>2726</v>
      </c>
      <c r="AO25" s="68">
        <v>2994</v>
      </c>
      <c r="AP25" s="68">
        <v>3293</v>
      </c>
      <c r="AQ25" s="25">
        <f t="shared" si="0"/>
        <v>13739</v>
      </c>
      <c r="AR25" s="25">
        <f t="shared" si="1"/>
        <v>26798</v>
      </c>
      <c r="AS25" s="25">
        <f t="shared" si="2"/>
        <v>40537</v>
      </c>
      <c r="AU25"/>
      <c r="AV25"/>
      <c r="AW25"/>
      <c r="AX25"/>
      <c r="AY25"/>
      <c r="AZ25"/>
    </row>
    <row r="26" spans="6:71" ht="14.4" x14ac:dyDescent="0.3">
      <c r="F26" s="76"/>
      <c r="G26" s="77"/>
      <c r="H26" s="77"/>
      <c r="I26" s="77"/>
      <c r="J26" s="77"/>
      <c r="K26" s="77"/>
      <c r="L26" s="78"/>
      <c r="O26" s="112" t="s">
        <v>55</v>
      </c>
      <c r="P26" s="25" t="s">
        <v>64</v>
      </c>
      <c r="Q26" s="25" t="s">
        <v>57</v>
      </c>
      <c r="R26" s="25" t="s">
        <v>60</v>
      </c>
      <c r="S26" s="25">
        <v>912</v>
      </c>
      <c r="T26" s="25">
        <v>940</v>
      </c>
      <c r="U26" s="25">
        <v>965</v>
      </c>
      <c r="V26" s="68">
        <v>1052</v>
      </c>
      <c r="W26" s="68">
        <v>1122</v>
      </c>
      <c r="X26" s="68">
        <v>1164</v>
      </c>
      <c r="Y26" s="68">
        <v>1257</v>
      </c>
      <c r="Z26" s="68">
        <v>1320</v>
      </c>
      <c r="AA26" s="68">
        <v>1401</v>
      </c>
      <c r="AB26" s="68">
        <v>1475</v>
      </c>
      <c r="AC26" s="68">
        <v>1598</v>
      </c>
      <c r="AD26" s="68">
        <v>1609</v>
      </c>
      <c r="AE26" s="68">
        <v>1684</v>
      </c>
      <c r="AF26" s="68">
        <v>1833</v>
      </c>
      <c r="AG26" s="68">
        <v>1915</v>
      </c>
      <c r="AH26" s="68">
        <v>1978</v>
      </c>
      <c r="AI26" s="68">
        <v>2031</v>
      </c>
      <c r="AJ26" s="68">
        <v>2092</v>
      </c>
      <c r="AK26" s="68">
        <v>2301</v>
      </c>
      <c r="AL26" s="68">
        <v>2333</v>
      </c>
      <c r="AM26" s="68">
        <v>2442</v>
      </c>
      <c r="AN26" s="68">
        <v>2443</v>
      </c>
      <c r="AO26" s="68">
        <v>2558</v>
      </c>
      <c r="AP26" s="68">
        <v>2762</v>
      </c>
      <c r="AQ26" s="25">
        <f t="shared" si="0"/>
        <v>14815</v>
      </c>
      <c r="AR26" s="25">
        <f t="shared" si="1"/>
        <v>26372</v>
      </c>
      <c r="AS26" s="25">
        <f t="shared" si="2"/>
        <v>41187</v>
      </c>
      <c r="AU26" t="s">
        <v>51</v>
      </c>
      <c r="AV26" t="s">
        <v>193</v>
      </c>
      <c r="AW26"/>
      <c r="AX26" t="s">
        <v>52</v>
      </c>
      <c r="AY26">
        <v>2008</v>
      </c>
      <c r="AZ26">
        <v>2009</v>
      </c>
      <c r="BA26" s="18" t="s">
        <v>197</v>
      </c>
    </row>
    <row r="27" spans="6:71" ht="14.4" x14ac:dyDescent="0.3">
      <c r="F27" s="76"/>
      <c r="G27" s="77"/>
      <c r="H27" s="77"/>
      <c r="I27" s="77"/>
      <c r="J27" s="77"/>
      <c r="K27" s="77"/>
      <c r="L27" s="78"/>
      <c r="O27" s="112" t="s">
        <v>55</v>
      </c>
      <c r="P27" s="25" t="s">
        <v>64</v>
      </c>
      <c r="Q27" s="25" t="s">
        <v>57</v>
      </c>
      <c r="R27" s="25" t="s">
        <v>61</v>
      </c>
      <c r="S27" s="25">
        <v>847</v>
      </c>
      <c r="T27" s="25">
        <v>878</v>
      </c>
      <c r="U27" s="25">
        <v>962</v>
      </c>
      <c r="V27" s="68">
        <v>1004</v>
      </c>
      <c r="W27" s="68">
        <v>1075</v>
      </c>
      <c r="X27" s="68">
        <v>1174</v>
      </c>
      <c r="Y27" s="68">
        <v>1283</v>
      </c>
      <c r="Z27" s="68">
        <v>1357</v>
      </c>
      <c r="AA27" s="68">
        <v>1377</v>
      </c>
      <c r="AB27" s="68">
        <v>1422</v>
      </c>
      <c r="AC27" s="68">
        <v>1548</v>
      </c>
      <c r="AD27" s="68">
        <v>1699</v>
      </c>
      <c r="AE27" s="68">
        <v>1745</v>
      </c>
      <c r="AF27" s="68">
        <v>1773</v>
      </c>
      <c r="AG27" s="68">
        <v>1950</v>
      </c>
      <c r="AH27" s="68">
        <v>2028</v>
      </c>
      <c r="AI27" s="68">
        <v>2176</v>
      </c>
      <c r="AJ27" s="68">
        <v>2306</v>
      </c>
      <c r="AK27" s="68">
        <v>2316</v>
      </c>
      <c r="AL27" s="68">
        <v>2419</v>
      </c>
      <c r="AM27" s="68">
        <v>2539</v>
      </c>
      <c r="AN27" s="68">
        <v>2700</v>
      </c>
      <c r="AO27" s="68">
        <v>2968</v>
      </c>
      <c r="AP27" s="68">
        <v>3125</v>
      </c>
      <c r="AQ27" s="25">
        <f t="shared" si="0"/>
        <v>14626</v>
      </c>
      <c r="AR27" s="25">
        <f t="shared" si="1"/>
        <v>28045</v>
      </c>
      <c r="AS27" s="25">
        <f t="shared" si="2"/>
        <v>42671</v>
      </c>
      <c r="AU27" t="s">
        <v>67</v>
      </c>
      <c r="AV27">
        <f>SUMIF($O$12:$O$155,AU27,$AS$12:$AS$155)</f>
        <v>735082</v>
      </c>
      <c r="AW27"/>
      <c r="AX27" t="s">
        <v>56</v>
      </c>
      <c r="AY27">
        <f>SUMIF($P$12:$P$155,$AX27,AQ$12:AQ$155)</f>
        <v>345283</v>
      </c>
      <c r="AZ27">
        <f>SUMIF($P$12:$P$155,$AX27,AR$12:AR$155)</f>
        <v>623413</v>
      </c>
      <c r="BA27" s="108">
        <f>(AZ27/AY27)-1</f>
        <v>0.80551315877121077</v>
      </c>
    </row>
    <row r="28" spans="6:71" ht="14.4" x14ac:dyDescent="0.3">
      <c r="F28" s="76"/>
      <c r="G28" s="77"/>
      <c r="H28" s="77"/>
      <c r="I28" s="77"/>
      <c r="J28" s="77"/>
      <c r="K28" s="77"/>
      <c r="L28" s="78"/>
      <c r="O28" s="112" t="s">
        <v>55</v>
      </c>
      <c r="P28" s="25" t="s">
        <v>64</v>
      </c>
      <c r="Q28" s="25" t="s">
        <v>62</v>
      </c>
      <c r="R28" s="25" t="s">
        <v>58</v>
      </c>
      <c r="S28" s="25">
        <v>725</v>
      </c>
      <c r="T28" s="25">
        <v>727</v>
      </c>
      <c r="U28" s="25">
        <v>736</v>
      </c>
      <c r="V28" s="25">
        <v>768</v>
      </c>
      <c r="W28" s="25">
        <v>786</v>
      </c>
      <c r="X28" s="25">
        <v>832</v>
      </c>
      <c r="Y28" s="25">
        <v>860</v>
      </c>
      <c r="Z28" s="25">
        <v>903</v>
      </c>
      <c r="AA28" s="25">
        <v>939</v>
      </c>
      <c r="AB28" s="25">
        <v>976</v>
      </c>
      <c r="AC28" s="25">
        <v>981</v>
      </c>
      <c r="AD28" s="68">
        <v>1032</v>
      </c>
      <c r="AE28" s="68">
        <v>1120</v>
      </c>
      <c r="AF28" s="68">
        <v>1134</v>
      </c>
      <c r="AG28" s="68">
        <v>1194</v>
      </c>
      <c r="AH28" s="68">
        <v>1233</v>
      </c>
      <c r="AI28" s="68">
        <v>1286</v>
      </c>
      <c r="AJ28" s="68">
        <v>1366</v>
      </c>
      <c r="AK28" s="68">
        <v>1440</v>
      </c>
      <c r="AL28" s="68">
        <v>1581</v>
      </c>
      <c r="AM28" s="68">
        <v>1693</v>
      </c>
      <c r="AN28" s="68">
        <v>1827</v>
      </c>
      <c r="AO28" s="68">
        <v>1838</v>
      </c>
      <c r="AP28" s="68">
        <v>2006</v>
      </c>
      <c r="AQ28" s="25">
        <f t="shared" si="0"/>
        <v>10265</v>
      </c>
      <c r="AR28" s="25">
        <f t="shared" si="1"/>
        <v>17718</v>
      </c>
      <c r="AS28" s="25">
        <f t="shared" si="2"/>
        <v>27983</v>
      </c>
      <c r="AU28" t="s">
        <v>55</v>
      </c>
      <c r="AV28">
        <f>SUMIF($O$12:$O$155,AU28,$AS$12:$AS$155)</f>
        <v>904847</v>
      </c>
      <c r="AW28"/>
      <c r="AX28" t="s">
        <v>64</v>
      </c>
      <c r="AY28">
        <f t="shared" ref="AY28:AZ29" si="8">SUMIF($P$12:$P$155,$AX28,AQ$12:AQ$155)</f>
        <v>408251</v>
      </c>
      <c r="AZ28">
        <f t="shared" si="8"/>
        <v>732968</v>
      </c>
      <c r="BA28" s="108">
        <f t="shared" ref="BA28:BA30" si="9">(AZ28/AY28)-1</f>
        <v>0.79538568184768677</v>
      </c>
    </row>
    <row r="29" spans="6:71" ht="14.4" x14ac:dyDescent="0.3">
      <c r="F29" s="76"/>
      <c r="G29" s="77"/>
      <c r="H29" s="77"/>
      <c r="I29" s="77"/>
      <c r="J29" s="77"/>
      <c r="K29" s="77"/>
      <c r="L29" s="78"/>
      <c r="O29" s="112" t="s">
        <v>55</v>
      </c>
      <c r="P29" s="25" t="s">
        <v>64</v>
      </c>
      <c r="Q29" s="25" t="s">
        <v>62</v>
      </c>
      <c r="R29" s="25" t="s">
        <v>59</v>
      </c>
      <c r="S29" s="25">
        <v>65</v>
      </c>
      <c r="T29" s="25">
        <v>69</v>
      </c>
      <c r="U29" s="25">
        <v>76</v>
      </c>
      <c r="V29" s="25">
        <v>79</v>
      </c>
      <c r="W29" s="25">
        <v>87</v>
      </c>
      <c r="X29" s="25">
        <v>95</v>
      </c>
      <c r="Y29" s="25">
        <v>97</v>
      </c>
      <c r="Z29" s="25">
        <v>100</v>
      </c>
      <c r="AA29" s="25">
        <v>109</v>
      </c>
      <c r="AB29" s="25">
        <v>111</v>
      </c>
      <c r="AC29" s="25">
        <v>113</v>
      </c>
      <c r="AD29" s="25">
        <v>116</v>
      </c>
      <c r="AE29" s="25">
        <v>117</v>
      </c>
      <c r="AF29" s="25">
        <v>126</v>
      </c>
      <c r="AG29" s="25">
        <v>127</v>
      </c>
      <c r="AH29" s="25">
        <v>129</v>
      </c>
      <c r="AI29" s="25">
        <v>133</v>
      </c>
      <c r="AJ29" s="25">
        <v>136</v>
      </c>
      <c r="AK29" s="25">
        <v>141</v>
      </c>
      <c r="AL29" s="25">
        <v>149</v>
      </c>
      <c r="AM29" s="25">
        <v>154</v>
      </c>
      <c r="AN29" s="25">
        <v>170</v>
      </c>
      <c r="AO29" s="25">
        <v>186</v>
      </c>
      <c r="AP29" s="25">
        <v>193</v>
      </c>
      <c r="AQ29" s="25">
        <f t="shared" si="0"/>
        <v>1117</v>
      </c>
      <c r="AR29" s="25">
        <f t="shared" si="1"/>
        <v>1761</v>
      </c>
      <c r="AS29" s="25">
        <f t="shared" si="2"/>
        <v>2878</v>
      </c>
      <c r="AU29" t="s">
        <v>66</v>
      </c>
      <c r="AV29">
        <f>SUMIF($O$12:$O$155,AU29,$AS$12:$AS$155)</f>
        <v>694003</v>
      </c>
      <c r="AW29"/>
      <c r="AX29" t="s">
        <v>65</v>
      </c>
      <c r="AY29">
        <f t="shared" si="8"/>
        <v>437010</v>
      </c>
      <c r="AZ29">
        <f t="shared" si="8"/>
        <v>778577</v>
      </c>
      <c r="BA29" s="108">
        <f t="shared" si="9"/>
        <v>0.78159996338756543</v>
      </c>
    </row>
    <row r="30" spans="6:71" ht="14.4" x14ac:dyDescent="0.3">
      <c r="F30" s="76"/>
      <c r="G30" s="77"/>
      <c r="H30" s="77"/>
      <c r="I30" s="77"/>
      <c r="J30" s="77"/>
      <c r="K30" s="77"/>
      <c r="L30" s="78"/>
      <c r="O30" s="112" t="s">
        <v>55</v>
      </c>
      <c r="P30" s="25" t="s">
        <v>64</v>
      </c>
      <c r="Q30" s="25" t="s">
        <v>62</v>
      </c>
      <c r="R30" s="25" t="s">
        <v>60</v>
      </c>
      <c r="S30" s="25">
        <v>872</v>
      </c>
      <c r="T30" s="25">
        <v>898</v>
      </c>
      <c r="U30" s="25">
        <v>956</v>
      </c>
      <c r="V30" s="68">
        <v>1027</v>
      </c>
      <c r="W30" s="68">
        <v>1112</v>
      </c>
      <c r="X30" s="68">
        <v>1209</v>
      </c>
      <c r="Y30" s="68">
        <v>1283</v>
      </c>
      <c r="Z30" s="68">
        <v>1346</v>
      </c>
      <c r="AA30" s="68">
        <v>1356</v>
      </c>
      <c r="AB30" s="68">
        <v>1463</v>
      </c>
      <c r="AC30" s="68">
        <v>1544</v>
      </c>
      <c r="AD30" s="68">
        <v>1620</v>
      </c>
      <c r="AE30" s="68">
        <v>1754</v>
      </c>
      <c r="AF30" s="68">
        <v>1817</v>
      </c>
      <c r="AG30" s="68">
        <v>1835</v>
      </c>
      <c r="AH30" s="68">
        <v>2018</v>
      </c>
      <c r="AI30" s="68">
        <v>2149</v>
      </c>
      <c r="AJ30" s="68">
        <v>2273</v>
      </c>
      <c r="AK30" s="68">
        <v>2483</v>
      </c>
      <c r="AL30" s="68">
        <v>2559</v>
      </c>
      <c r="AM30" s="68">
        <v>2725</v>
      </c>
      <c r="AN30" s="68">
        <v>2863</v>
      </c>
      <c r="AO30" s="68">
        <v>3112</v>
      </c>
      <c r="AP30" s="68">
        <v>3270</v>
      </c>
      <c r="AQ30" s="25">
        <f t="shared" si="0"/>
        <v>14686</v>
      </c>
      <c r="AR30" s="25">
        <f t="shared" si="1"/>
        <v>28858</v>
      </c>
      <c r="AS30" s="25">
        <f t="shared" si="2"/>
        <v>43544</v>
      </c>
      <c r="AU30" t="s">
        <v>68</v>
      </c>
      <c r="AV30">
        <f>SUMIF($O$12:$O$155,AU30,$AS$12:$AS$155)</f>
        <v>991570</v>
      </c>
      <c r="AW30"/>
      <c r="AX30" t="s">
        <v>191</v>
      </c>
      <c r="AY30">
        <f>SUM(AY27:AY29)</f>
        <v>1190544</v>
      </c>
      <c r="AZ30" s="18">
        <f>SUM(AZ27:AZ29)</f>
        <v>2134958</v>
      </c>
      <c r="BA30" s="108">
        <f t="shared" si="9"/>
        <v>0.79326257576368442</v>
      </c>
    </row>
    <row r="31" spans="6:71" ht="14.4" x14ac:dyDescent="0.3">
      <c r="F31" s="76"/>
      <c r="G31" s="77"/>
      <c r="H31" s="77"/>
      <c r="I31" s="77"/>
      <c r="J31" s="77"/>
      <c r="K31" s="77"/>
      <c r="L31" s="78"/>
      <c r="O31" s="112" t="s">
        <v>55</v>
      </c>
      <c r="P31" s="25" t="s">
        <v>64</v>
      </c>
      <c r="Q31" s="25" t="s">
        <v>62</v>
      </c>
      <c r="R31" s="25" t="s">
        <v>61</v>
      </c>
      <c r="S31" s="25">
        <v>321</v>
      </c>
      <c r="T31" s="25">
        <v>328</v>
      </c>
      <c r="U31" s="25">
        <v>359</v>
      </c>
      <c r="V31" s="25">
        <v>369</v>
      </c>
      <c r="W31" s="25">
        <v>384</v>
      </c>
      <c r="X31" s="25">
        <v>395</v>
      </c>
      <c r="Y31" s="25">
        <v>420</v>
      </c>
      <c r="Z31" s="25">
        <v>433</v>
      </c>
      <c r="AA31" s="25">
        <v>439</v>
      </c>
      <c r="AB31" s="25">
        <v>455</v>
      </c>
      <c r="AC31" s="25">
        <v>476</v>
      </c>
      <c r="AD31" s="25">
        <v>522</v>
      </c>
      <c r="AE31" s="25">
        <v>535</v>
      </c>
      <c r="AF31" s="25">
        <v>547</v>
      </c>
      <c r="AG31" s="25">
        <v>560</v>
      </c>
      <c r="AH31" s="25">
        <v>575</v>
      </c>
      <c r="AI31" s="25">
        <v>597</v>
      </c>
      <c r="AJ31" s="25">
        <v>617</v>
      </c>
      <c r="AK31" s="25">
        <v>644</v>
      </c>
      <c r="AL31" s="25">
        <v>698</v>
      </c>
      <c r="AM31" s="25">
        <v>743</v>
      </c>
      <c r="AN31" s="25">
        <v>797</v>
      </c>
      <c r="AO31" s="25">
        <v>808</v>
      </c>
      <c r="AP31" s="25">
        <v>864</v>
      </c>
      <c r="AQ31" s="25">
        <f t="shared" si="0"/>
        <v>4901</v>
      </c>
      <c r="AR31" s="25">
        <f t="shared" si="1"/>
        <v>7985</v>
      </c>
      <c r="AS31" s="25">
        <f t="shared" si="2"/>
        <v>12886</v>
      </c>
      <c r="AU31"/>
      <c r="AV31"/>
      <c r="AW31"/>
      <c r="AX31"/>
      <c r="AY31"/>
    </row>
    <row r="32" spans="6:71" ht="14.4" x14ac:dyDescent="0.3">
      <c r="F32" s="76"/>
      <c r="G32" s="77"/>
      <c r="H32" s="77"/>
      <c r="I32" s="77"/>
      <c r="J32" s="77"/>
      <c r="K32" s="77"/>
      <c r="L32" s="78"/>
      <c r="O32" s="112" t="s">
        <v>55</v>
      </c>
      <c r="P32" s="25" t="s">
        <v>64</v>
      </c>
      <c r="Q32" s="25" t="s">
        <v>63</v>
      </c>
      <c r="R32" s="25" t="s">
        <v>58</v>
      </c>
      <c r="S32" s="25">
        <v>735</v>
      </c>
      <c r="T32" s="25">
        <v>735</v>
      </c>
      <c r="U32" s="25">
        <v>771</v>
      </c>
      <c r="V32" s="25">
        <v>790</v>
      </c>
      <c r="W32" s="25">
        <v>798</v>
      </c>
      <c r="X32" s="25">
        <v>815</v>
      </c>
      <c r="Y32" s="25">
        <v>878</v>
      </c>
      <c r="Z32" s="25">
        <v>927</v>
      </c>
      <c r="AA32" s="68">
        <v>1013</v>
      </c>
      <c r="AB32" s="68">
        <v>1020</v>
      </c>
      <c r="AC32" s="68">
        <v>1109</v>
      </c>
      <c r="AD32" s="68">
        <v>1146</v>
      </c>
      <c r="AE32" s="68">
        <v>1158</v>
      </c>
      <c r="AF32" s="68">
        <v>1268</v>
      </c>
      <c r="AG32" s="68">
        <v>1317</v>
      </c>
      <c r="AH32" s="68">
        <v>1379</v>
      </c>
      <c r="AI32" s="68">
        <v>1436</v>
      </c>
      <c r="AJ32" s="68">
        <v>1466</v>
      </c>
      <c r="AK32" s="68">
        <v>1544</v>
      </c>
      <c r="AL32" s="68">
        <v>1631</v>
      </c>
      <c r="AM32" s="68">
        <v>1784</v>
      </c>
      <c r="AN32" s="68">
        <v>1892</v>
      </c>
      <c r="AO32" s="68">
        <v>1905</v>
      </c>
      <c r="AP32" s="68">
        <v>1977</v>
      </c>
      <c r="AQ32" s="25">
        <f t="shared" si="0"/>
        <v>10737</v>
      </c>
      <c r="AR32" s="25">
        <f t="shared" si="1"/>
        <v>18757</v>
      </c>
      <c r="AS32" s="25">
        <f t="shared" si="2"/>
        <v>29494</v>
      </c>
      <c r="AU32"/>
      <c r="AV32"/>
      <c r="AW32"/>
      <c r="AX32"/>
      <c r="AY32"/>
    </row>
    <row r="33" spans="1:52" ht="14.4" x14ac:dyDescent="0.3">
      <c r="F33" s="76"/>
      <c r="G33" s="77"/>
      <c r="H33" s="77"/>
      <c r="I33" s="77"/>
      <c r="J33" s="77"/>
      <c r="K33" s="77"/>
      <c r="L33" s="78"/>
      <c r="O33" s="112" t="s">
        <v>55</v>
      </c>
      <c r="P33" s="25" t="s">
        <v>64</v>
      </c>
      <c r="Q33" s="25" t="s">
        <v>63</v>
      </c>
      <c r="R33" s="25" t="s">
        <v>59</v>
      </c>
      <c r="S33" s="25">
        <v>472</v>
      </c>
      <c r="T33" s="25">
        <v>506</v>
      </c>
      <c r="U33" s="25">
        <v>531</v>
      </c>
      <c r="V33" s="25">
        <v>580</v>
      </c>
      <c r="W33" s="25">
        <v>636</v>
      </c>
      <c r="X33" s="25">
        <v>662</v>
      </c>
      <c r="Y33" s="25">
        <v>727</v>
      </c>
      <c r="Z33" s="25">
        <v>777</v>
      </c>
      <c r="AA33" s="25">
        <v>816</v>
      </c>
      <c r="AB33" s="25">
        <v>875</v>
      </c>
      <c r="AC33" s="25">
        <v>959</v>
      </c>
      <c r="AD33" s="68">
        <v>1040</v>
      </c>
      <c r="AE33" s="68">
        <v>1049</v>
      </c>
      <c r="AF33" s="68">
        <v>1133</v>
      </c>
      <c r="AG33" s="68">
        <v>1202</v>
      </c>
      <c r="AH33" s="68">
        <v>1207</v>
      </c>
      <c r="AI33" s="68">
        <v>1226</v>
      </c>
      <c r="AJ33" s="68">
        <v>1320</v>
      </c>
      <c r="AK33" s="68">
        <v>1401</v>
      </c>
      <c r="AL33" s="68">
        <v>1466</v>
      </c>
      <c r="AM33" s="68">
        <v>1540</v>
      </c>
      <c r="AN33" s="68">
        <v>1602</v>
      </c>
      <c r="AO33" s="68">
        <v>1728</v>
      </c>
      <c r="AP33" s="68">
        <v>1747</v>
      </c>
      <c r="AQ33" s="25">
        <f t="shared" si="0"/>
        <v>8581</v>
      </c>
      <c r="AR33" s="25">
        <f t="shared" si="1"/>
        <v>16621</v>
      </c>
      <c r="AS33" s="25">
        <f t="shared" si="2"/>
        <v>25202</v>
      </c>
      <c r="AU33" t="s">
        <v>194</v>
      </c>
      <c r="AV33" t="s">
        <v>193</v>
      </c>
      <c r="AW33"/>
      <c r="AX33" t="s">
        <v>0</v>
      </c>
      <c r="AY33">
        <v>2008</v>
      </c>
      <c r="AZ33" s="18">
        <v>2009</v>
      </c>
    </row>
    <row r="34" spans="1:52" ht="14.4" x14ac:dyDescent="0.3">
      <c r="F34" s="76"/>
      <c r="G34" s="77"/>
      <c r="H34" s="77"/>
      <c r="I34" s="77"/>
      <c r="J34" s="77"/>
      <c r="K34" s="77"/>
      <c r="L34" s="78"/>
      <c r="O34" s="112" t="s">
        <v>55</v>
      </c>
      <c r="P34" s="25" t="s">
        <v>64</v>
      </c>
      <c r="Q34" s="25" t="s">
        <v>63</v>
      </c>
      <c r="R34" s="25" t="s">
        <v>60</v>
      </c>
      <c r="S34" s="25">
        <v>115</v>
      </c>
      <c r="T34" s="25">
        <v>116</v>
      </c>
      <c r="U34" s="25">
        <v>124</v>
      </c>
      <c r="V34" s="25">
        <v>131</v>
      </c>
      <c r="W34" s="25">
        <v>135</v>
      </c>
      <c r="X34" s="25">
        <v>137</v>
      </c>
      <c r="Y34" s="25">
        <v>144</v>
      </c>
      <c r="Z34" s="25">
        <v>158</v>
      </c>
      <c r="AA34" s="25">
        <v>169</v>
      </c>
      <c r="AB34" s="25">
        <v>176</v>
      </c>
      <c r="AC34" s="25">
        <v>183</v>
      </c>
      <c r="AD34" s="25">
        <v>200</v>
      </c>
      <c r="AE34" s="25">
        <v>209</v>
      </c>
      <c r="AF34" s="25">
        <v>229</v>
      </c>
      <c r="AG34" s="25">
        <v>241</v>
      </c>
      <c r="AH34" s="25">
        <v>257</v>
      </c>
      <c r="AI34" s="25">
        <v>262</v>
      </c>
      <c r="AJ34" s="25">
        <v>274</v>
      </c>
      <c r="AK34" s="25">
        <v>284</v>
      </c>
      <c r="AL34" s="25">
        <v>310</v>
      </c>
      <c r="AM34" s="25">
        <v>333</v>
      </c>
      <c r="AN34" s="25">
        <v>362</v>
      </c>
      <c r="AO34" s="25">
        <v>386</v>
      </c>
      <c r="AP34" s="25">
        <v>394</v>
      </c>
      <c r="AQ34" s="25">
        <f t="shared" si="0"/>
        <v>1788</v>
      </c>
      <c r="AR34" s="25">
        <f t="shared" si="1"/>
        <v>3541</v>
      </c>
      <c r="AS34" s="25">
        <f t="shared" si="2"/>
        <v>5329</v>
      </c>
      <c r="AU34" t="s">
        <v>57</v>
      </c>
      <c r="AV34">
        <f>SUMIF($Q$12:$Q$155,AU34,$AS$12:$AS$155)</f>
        <v>1239210</v>
      </c>
      <c r="AW34"/>
      <c r="AX34" t="s">
        <v>61</v>
      </c>
      <c r="AY34">
        <f>AVERAGEIF($R$12:$R$155,$AX34,AQ$12:AQ$155)</f>
        <v>8142.9444444444443</v>
      </c>
      <c r="AZ34">
        <f>AVERAGEIF($R$12:$R$155,$AX34,AR$12:AR$155)</f>
        <v>14488.194444444445</v>
      </c>
    </row>
    <row r="35" spans="1:52" ht="14.4" x14ac:dyDescent="0.3">
      <c r="F35" s="76"/>
      <c r="G35" s="77"/>
      <c r="H35" s="77"/>
      <c r="I35" s="77"/>
      <c r="J35" s="77"/>
      <c r="K35" s="77"/>
      <c r="L35" s="78"/>
      <c r="O35" s="112" t="s">
        <v>55</v>
      </c>
      <c r="P35" s="25" t="s">
        <v>64</v>
      </c>
      <c r="Q35" s="25" t="s">
        <v>63</v>
      </c>
      <c r="R35" s="25" t="s">
        <v>61</v>
      </c>
      <c r="S35" s="25">
        <v>460</v>
      </c>
      <c r="T35" s="25">
        <v>481</v>
      </c>
      <c r="U35" s="25">
        <v>522</v>
      </c>
      <c r="V35" s="25">
        <v>557</v>
      </c>
      <c r="W35" s="25">
        <v>568</v>
      </c>
      <c r="X35" s="25">
        <v>578</v>
      </c>
      <c r="Y35" s="25">
        <v>613</v>
      </c>
      <c r="Z35" s="25">
        <v>634</v>
      </c>
      <c r="AA35" s="25">
        <v>653</v>
      </c>
      <c r="AB35" s="25">
        <v>702</v>
      </c>
      <c r="AC35" s="25">
        <v>760</v>
      </c>
      <c r="AD35" s="25">
        <v>813</v>
      </c>
      <c r="AE35" s="25">
        <v>856</v>
      </c>
      <c r="AF35" s="25">
        <v>884</v>
      </c>
      <c r="AG35" s="25">
        <v>962</v>
      </c>
      <c r="AH35" s="25">
        <v>963</v>
      </c>
      <c r="AI35" s="68">
        <v>1053</v>
      </c>
      <c r="AJ35" s="68">
        <v>1092</v>
      </c>
      <c r="AK35" s="68">
        <v>1093</v>
      </c>
      <c r="AL35" s="68">
        <v>1116</v>
      </c>
      <c r="AM35" s="68">
        <v>1198</v>
      </c>
      <c r="AN35" s="68">
        <v>1212</v>
      </c>
      <c r="AO35" s="68">
        <v>1301</v>
      </c>
      <c r="AP35" s="68">
        <v>1305</v>
      </c>
      <c r="AQ35" s="25">
        <f t="shared" si="0"/>
        <v>7341</v>
      </c>
      <c r="AR35" s="25">
        <f t="shared" si="1"/>
        <v>13035</v>
      </c>
      <c r="AS35" s="25">
        <f t="shared" si="2"/>
        <v>20376</v>
      </c>
      <c r="AU35" t="s">
        <v>62</v>
      </c>
      <c r="AV35">
        <f>SUMIF($Q$12:$Q$155,AU35,$AS$12:$AS$155)</f>
        <v>1116815</v>
      </c>
      <c r="AW35"/>
      <c r="AX35" t="s">
        <v>198</v>
      </c>
      <c r="AY35">
        <f>AVERAGEIF($R$12:$R$155,"&lt;&gt;"&amp;$AX35,AQ$12:AQ$155)</f>
        <v>8267.6666666666661</v>
      </c>
      <c r="AZ35">
        <f>AVERAGEIF($R$12:$R$155,"&lt;&gt;"&amp;$AX35,AR$12:AR$155)</f>
        <v>14826.097222222223</v>
      </c>
    </row>
    <row r="36" spans="1:52" ht="14.4" x14ac:dyDescent="0.3">
      <c r="F36" s="76"/>
      <c r="G36" s="77"/>
      <c r="H36" s="77"/>
      <c r="I36" s="77"/>
      <c r="J36" s="77"/>
      <c r="K36" s="77"/>
      <c r="L36" s="78"/>
      <c r="O36" s="112" t="s">
        <v>55</v>
      </c>
      <c r="P36" s="25" t="s">
        <v>65</v>
      </c>
      <c r="Q36" s="25" t="s">
        <v>57</v>
      </c>
      <c r="R36" s="25" t="s">
        <v>58</v>
      </c>
      <c r="S36" s="25">
        <v>713</v>
      </c>
      <c r="T36" s="25">
        <v>736</v>
      </c>
      <c r="U36" s="25">
        <v>782</v>
      </c>
      <c r="V36" s="25">
        <v>859</v>
      </c>
      <c r="W36" s="25">
        <v>881</v>
      </c>
      <c r="X36" s="25">
        <v>969</v>
      </c>
      <c r="Y36" s="68">
        <v>1004</v>
      </c>
      <c r="Z36" s="68">
        <v>1015</v>
      </c>
      <c r="AA36" s="68">
        <v>1104</v>
      </c>
      <c r="AB36" s="68">
        <v>1179</v>
      </c>
      <c r="AC36" s="68">
        <v>1194</v>
      </c>
      <c r="AD36" s="68">
        <v>1227</v>
      </c>
      <c r="AE36" s="68">
        <v>1244</v>
      </c>
      <c r="AF36" s="68">
        <v>1247</v>
      </c>
      <c r="AG36" s="68">
        <v>1347</v>
      </c>
      <c r="AH36" s="68">
        <v>1468</v>
      </c>
      <c r="AI36" s="68">
        <v>1486</v>
      </c>
      <c r="AJ36" s="68">
        <v>1613</v>
      </c>
      <c r="AK36" s="68">
        <v>1629</v>
      </c>
      <c r="AL36" s="68">
        <v>1732</v>
      </c>
      <c r="AM36" s="68">
        <v>1833</v>
      </c>
      <c r="AN36" s="68">
        <v>1982</v>
      </c>
      <c r="AO36" s="68">
        <v>2071</v>
      </c>
      <c r="AP36" s="68">
        <v>2148</v>
      </c>
      <c r="AQ36" s="25">
        <f t="shared" si="0"/>
        <v>11663</v>
      </c>
      <c r="AR36" s="25">
        <f t="shared" si="1"/>
        <v>19800</v>
      </c>
      <c r="AS36" s="25">
        <f t="shared" si="2"/>
        <v>31463</v>
      </c>
      <c r="AU36" t="s">
        <v>63</v>
      </c>
      <c r="AV36">
        <f>SUMIF($Q$12:$Q$155,AU36,$AS$12:$AS$155)</f>
        <v>969477</v>
      </c>
      <c r="AW36"/>
      <c r="AX36"/>
      <c r="AZ36"/>
    </row>
    <row r="37" spans="1:52" ht="14.4" x14ac:dyDescent="0.3">
      <c r="F37" s="76"/>
      <c r="G37" s="77"/>
      <c r="H37" s="77"/>
      <c r="I37" s="77"/>
      <c r="J37" s="77"/>
      <c r="K37" s="77"/>
      <c r="L37" s="78"/>
      <c r="O37" s="112" t="s">
        <v>55</v>
      </c>
      <c r="P37" s="25" t="s">
        <v>65</v>
      </c>
      <c r="Q37" s="25" t="s">
        <v>57</v>
      </c>
      <c r="R37" s="25" t="s">
        <v>59</v>
      </c>
      <c r="S37" s="25">
        <v>957</v>
      </c>
      <c r="T37" s="25">
        <v>960</v>
      </c>
      <c r="U37" s="68">
        <v>1039</v>
      </c>
      <c r="V37" s="68">
        <v>1065</v>
      </c>
      <c r="W37" s="68">
        <v>1089</v>
      </c>
      <c r="X37" s="68">
        <v>1125</v>
      </c>
      <c r="Y37" s="68">
        <v>1155</v>
      </c>
      <c r="Z37" s="68">
        <v>1203</v>
      </c>
      <c r="AA37" s="68">
        <v>1216</v>
      </c>
      <c r="AB37" s="68">
        <v>1337</v>
      </c>
      <c r="AC37" s="68">
        <v>1348</v>
      </c>
      <c r="AD37" s="68">
        <v>1425</v>
      </c>
      <c r="AE37" s="68">
        <v>1557</v>
      </c>
      <c r="AF37" s="68">
        <v>1586</v>
      </c>
      <c r="AG37" s="68">
        <v>1635</v>
      </c>
      <c r="AH37" s="68">
        <v>1635</v>
      </c>
      <c r="AI37" s="68">
        <v>1737</v>
      </c>
      <c r="AJ37" s="68">
        <v>1881</v>
      </c>
      <c r="AK37" s="68">
        <v>1948</v>
      </c>
      <c r="AL37" s="68">
        <v>2028</v>
      </c>
      <c r="AM37" s="68">
        <v>2194</v>
      </c>
      <c r="AN37" s="68">
        <v>2250</v>
      </c>
      <c r="AO37" s="68">
        <v>2343</v>
      </c>
      <c r="AP37" s="68">
        <v>2525</v>
      </c>
      <c r="AQ37" s="25">
        <f t="shared" si="0"/>
        <v>13919</v>
      </c>
      <c r="AR37" s="25">
        <f t="shared" si="1"/>
        <v>23319</v>
      </c>
      <c r="AS37" s="25">
        <f t="shared" si="2"/>
        <v>37238</v>
      </c>
      <c r="AU37"/>
      <c r="AV37"/>
      <c r="AW37"/>
      <c r="AX37"/>
    </row>
    <row r="38" spans="1:52" ht="14.4" x14ac:dyDescent="0.3">
      <c r="F38" s="76"/>
      <c r="G38" s="77"/>
      <c r="H38" s="77"/>
      <c r="I38" s="77"/>
      <c r="J38" s="77"/>
      <c r="K38" s="77"/>
      <c r="L38" s="78"/>
      <c r="O38" s="112" t="s">
        <v>55</v>
      </c>
      <c r="P38" s="25" t="s">
        <v>65</v>
      </c>
      <c r="Q38" s="25" t="s">
        <v>57</v>
      </c>
      <c r="R38" s="25" t="s">
        <v>60</v>
      </c>
      <c r="S38" s="25">
        <v>987</v>
      </c>
      <c r="T38" s="68">
        <v>1039</v>
      </c>
      <c r="U38" s="68">
        <v>1054</v>
      </c>
      <c r="V38" s="68">
        <v>1092</v>
      </c>
      <c r="W38" s="68">
        <v>1183</v>
      </c>
      <c r="X38" s="68">
        <v>1222</v>
      </c>
      <c r="Y38" s="68">
        <v>1288</v>
      </c>
      <c r="Z38" s="68">
        <v>1355</v>
      </c>
      <c r="AA38" s="68">
        <v>1370</v>
      </c>
      <c r="AB38" s="68">
        <v>1380</v>
      </c>
      <c r="AC38" s="68">
        <v>1401</v>
      </c>
      <c r="AD38" s="68">
        <v>1421</v>
      </c>
      <c r="AE38" s="68">
        <v>1434</v>
      </c>
      <c r="AF38" s="68">
        <v>1474</v>
      </c>
      <c r="AG38" s="68">
        <v>1552</v>
      </c>
      <c r="AH38" s="68">
        <v>1570</v>
      </c>
      <c r="AI38" s="68">
        <v>1686</v>
      </c>
      <c r="AJ38" s="68">
        <v>1804</v>
      </c>
      <c r="AK38" s="68">
        <v>1855</v>
      </c>
      <c r="AL38" s="68">
        <v>1892</v>
      </c>
      <c r="AM38" s="68">
        <v>1922</v>
      </c>
      <c r="AN38" s="68">
        <v>2090</v>
      </c>
      <c r="AO38" s="68">
        <v>2152</v>
      </c>
      <c r="AP38" s="68">
        <v>2215</v>
      </c>
      <c r="AQ38" s="25">
        <f t="shared" si="0"/>
        <v>14792</v>
      </c>
      <c r="AR38" s="25">
        <f t="shared" si="1"/>
        <v>21646</v>
      </c>
      <c r="AS38" s="25">
        <f t="shared" si="2"/>
        <v>36438</v>
      </c>
      <c r="AU38"/>
      <c r="AV38"/>
      <c r="AW38"/>
    </row>
    <row r="39" spans="1:52" ht="14.4" x14ac:dyDescent="0.3">
      <c r="A39" s="18">
        <v>1</v>
      </c>
      <c r="F39" s="76"/>
      <c r="G39" s="77"/>
      <c r="H39" s="77"/>
      <c r="I39" s="77"/>
      <c r="J39" s="77"/>
      <c r="K39" s="77"/>
      <c r="L39" s="78"/>
      <c r="O39" s="112" t="s">
        <v>55</v>
      </c>
      <c r="P39" s="25" t="s">
        <v>65</v>
      </c>
      <c r="Q39" s="25" t="s">
        <v>57</v>
      </c>
      <c r="R39" s="25" t="s">
        <v>61</v>
      </c>
      <c r="S39" s="25">
        <v>535</v>
      </c>
      <c r="T39" s="25">
        <v>555</v>
      </c>
      <c r="U39" s="25">
        <v>590</v>
      </c>
      <c r="V39" s="25">
        <v>603</v>
      </c>
      <c r="W39" s="25">
        <v>652</v>
      </c>
      <c r="X39" s="25">
        <v>715</v>
      </c>
      <c r="Y39" s="25">
        <v>756</v>
      </c>
      <c r="Z39" s="25">
        <v>781</v>
      </c>
      <c r="AA39" s="25">
        <v>783</v>
      </c>
      <c r="AB39" s="25">
        <v>852</v>
      </c>
      <c r="AC39" s="25">
        <v>931</v>
      </c>
      <c r="AD39" s="68">
        <v>1014</v>
      </c>
      <c r="AE39" s="68">
        <v>1060</v>
      </c>
      <c r="AF39" s="68">
        <v>1165</v>
      </c>
      <c r="AG39" s="68">
        <v>1257</v>
      </c>
      <c r="AH39" s="68">
        <v>1295</v>
      </c>
      <c r="AI39" s="68">
        <v>1302</v>
      </c>
      <c r="AJ39" s="68">
        <v>1358</v>
      </c>
      <c r="AK39" s="68">
        <v>1469</v>
      </c>
      <c r="AL39" s="68">
        <v>1610</v>
      </c>
      <c r="AM39" s="68">
        <v>1664</v>
      </c>
      <c r="AN39" s="68">
        <v>1770</v>
      </c>
      <c r="AO39" s="68">
        <v>1782</v>
      </c>
      <c r="AP39" s="68">
        <v>1822</v>
      </c>
      <c r="AQ39" s="25">
        <f t="shared" si="0"/>
        <v>8767</v>
      </c>
      <c r="AR39" s="25">
        <f t="shared" si="1"/>
        <v>17554</v>
      </c>
      <c r="AS39" s="25">
        <f t="shared" si="2"/>
        <v>26321</v>
      </c>
      <c r="AU39"/>
      <c r="AV39"/>
      <c r="AW39"/>
    </row>
    <row r="40" spans="1:52" ht="14.4" x14ac:dyDescent="0.3">
      <c r="C40" s="62">
        <v>6.2</v>
      </c>
      <c r="D40" s="69">
        <v>15</v>
      </c>
      <c r="E40" s="18" t="s">
        <v>74</v>
      </c>
      <c r="F40" s="76"/>
      <c r="G40" s="77"/>
      <c r="H40" s="77"/>
      <c r="I40" s="77"/>
      <c r="J40" s="77"/>
      <c r="K40" s="77"/>
      <c r="L40" s="78"/>
      <c r="O40" s="112" t="s">
        <v>55</v>
      </c>
      <c r="P40" s="25" t="s">
        <v>65</v>
      </c>
      <c r="Q40" s="25" t="s">
        <v>62</v>
      </c>
      <c r="R40" s="25" t="s">
        <v>58</v>
      </c>
      <c r="S40" s="25">
        <v>645</v>
      </c>
      <c r="T40" s="25">
        <v>694</v>
      </c>
      <c r="U40" s="25">
        <v>736</v>
      </c>
      <c r="V40" s="25">
        <v>762</v>
      </c>
      <c r="W40" s="25">
        <v>831</v>
      </c>
      <c r="X40" s="25">
        <v>868</v>
      </c>
      <c r="Y40" s="25">
        <v>874</v>
      </c>
      <c r="Z40" s="25">
        <v>874</v>
      </c>
      <c r="AA40" s="25">
        <v>947</v>
      </c>
      <c r="AB40" s="25">
        <v>948</v>
      </c>
      <c r="AC40" s="68">
        <v>1030</v>
      </c>
      <c r="AD40" s="68">
        <v>1070</v>
      </c>
      <c r="AE40" s="68">
        <v>1130</v>
      </c>
      <c r="AF40" s="68">
        <v>1167</v>
      </c>
      <c r="AG40" s="68">
        <v>1224</v>
      </c>
      <c r="AH40" s="68">
        <v>1235</v>
      </c>
      <c r="AI40" s="68">
        <v>1352</v>
      </c>
      <c r="AJ40" s="68">
        <v>1460</v>
      </c>
      <c r="AK40" s="68">
        <v>1588</v>
      </c>
      <c r="AL40" s="68">
        <v>1637</v>
      </c>
      <c r="AM40" s="68">
        <v>1760</v>
      </c>
      <c r="AN40" s="68">
        <v>1926</v>
      </c>
      <c r="AO40" s="68">
        <v>1977</v>
      </c>
      <c r="AP40" s="68">
        <v>2048</v>
      </c>
      <c r="AQ40" s="25">
        <f t="shared" si="0"/>
        <v>10279</v>
      </c>
      <c r="AR40" s="25">
        <f t="shared" si="1"/>
        <v>18504</v>
      </c>
      <c r="AS40" s="25">
        <f t="shared" si="2"/>
        <v>28783</v>
      </c>
      <c r="AU40"/>
      <c r="AV40"/>
      <c r="AW40"/>
    </row>
    <row r="41" spans="1:52" ht="26.4" x14ac:dyDescent="0.3">
      <c r="E41" s="82" t="s">
        <v>105</v>
      </c>
      <c r="F41" s="76"/>
      <c r="G41" s="77"/>
      <c r="H41" s="77"/>
      <c r="I41" s="77"/>
      <c r="J41" s="77"/>
      <c r="K41" s="77"/>
      <c r="L41" s="78"/>
      <c r="O41" s="112" t="s">
        <v>55</v>
      </c>
      <c r="P41" s="25" t="s">
        <v>65</v>
      </c>
      <c r="Q41" s="25" t="s">
        <v>62</v>
      </c>
      <c r="R41" s="25" t="s">
        <v>59</v>
      </c>
      <c r="S41" s="25">
        <v>899</v>
      </c>
      <c r="T41" s="25">
        <v>951</v>
      </c>
      <c r="U41" s="25">
        <v>952</v>
      </c>
      <c r="V41" s="68">
        <v>1038</v>
      </c>
      <c r="W41" s="68">
        <v>1084</v>
      </c>
      <c r="X41" s="68">
        <v>1097</v>
      </c>
      <c r="Y41" s="68">
        <v>1132</v>
      </c>
      <c r="Z41" s="68">
        <v>1217</v>
      </c>
      <c r="AA41" s="68">
        <v>1257</v>
      </c>
      <c r="AB41" s="68">
        <v>1303</v>
      </c>
      <c r="AC41" s="68">
        <v>1358</v>
      </c>
      <c r="AD41" s="68">
        <v>1475</v>
      </c>
      <c r="AE41" s="68">
        <v>1621</v>
      </c>
      <c r="AF41" s="68">
        <v>1771</v>
      </c>
      <c r="AG41" s="68">
        <v>1896</v>
      </c>
      <c r="AH41" s="68">
        <v>2035</v>
      </c>
      <c r="AI41" s="68">
        <v>2138</v>
      </c>
      <c r="AJ41" s="68">
        <v>2292</v>
      </c>
      <c r="AK41" s="68">
        <v>2437</v>
      </c>
      <c r="AL41" s="68">
        <v>2660</v>
      </c>
      <c r="AM41" s="68">
        <v>2907</v>
      </c>
      <c r="AN41" s="68">
        <v>3102</v>
      </c>
      <c r="AO41" s="68">
        <v>3165</v>
      </c>
      <c r="AP41" s="68">
        <v>3327</v>
      </c>
      <c r="AQ41" s="25">
        <f t="shared" si="0"/>
        <v>13763</v>
      </c>
      <c r="AR41" s="25">
        <f t="shared" si="1"/>
        <v>29351</v>
      </c>
      <c r="AS41" s="25">
        <f t="shared" si="2"/>
        <v>43114</v>
      </c>
      <c r="AU41"/>
      <c r="AV41"/>
      <c r="AW41"/>
    </row>
    <row r="42" spans="1:52" ht="14.4" x14ac:dyDescent="0.3">
      <c r="E42" s="18" t="s">
        <v>75</v>
      </c>
      <c r="F42" s="76"/>
      <c r="G42" s="77"/>
      <c r="H42" s="77"/>
      <c r="I42" s="77"/>
      <c r="J42" s="77"/>
      <c r="K42" s="77"/>
      <c r="L42" s="78"/>
      <c r="O42" s="112" t="s">
        <v>55</v>
      </c>
      <c r="P42" s="25" t="s">
        <v>65</v>
      </c>
      <c r="Q42" s="25" t="s">
        <v>62</v>
      </c>
      <c r="R42" s="25" t="s">
        <v>60</v>
      </c>
      <c r="S42" s="25">
        <v>914</v>
      </c>
      <c r="T42" s="25">
        <v>914</v>
      </c>
      <c r="U42" s="25">
        <v>925</v>
      </c>
      <c r="V42" s="68">
        <v>1005</v>
      </c>
      <c r="W42" s="68">
        <v>1051</v>
      </c>
      <c r="X42" s="68">
        <v>1088</v>
      </c>
      <c r="Y42" s="68">
        <v>1103</v>
      </c>
      <c r="Z42" s="68">
        <v>1130</v>
      </c>
      <c r="AA42" s="68">
        <v>1221</v>
      </c>
      <c r="AB42" s="68">
        <v>1320</v>
      </c>
      <c r="AC42" s="68">
        <v>1450</v>
      </c>
      <c r="AD42" s="68">
        <v>1519</v>
      </c>
      <c r="AE42" s="68">
        <v>1658</v>
      </c>
      <c r="AF42" s="68">
        <v>1712</v>
      </c>
      <c r="AG42" s="68">
        <v>1793</v>
      </c>
      <c r="AH42" s="68">
        <v>1847</v>
      </c>
      <c r="AI42" s="68">
        <v>1981</v>
      </c>
      <c r="AJ42" s="68">
        <v>2017</v>
      </c>
      <c r="AK42" s="68">
        <v>2090</v>
      </c>
      <c r="AL42" s="68">
        <v>2244</v>
      </c>
      <c r="AM42" s="68">
        <v>2369</v>
      </c>
      <c r="AN42" s="68">
        <v>2466</v>
      </c>
      <c r="AO42" s="68">
        <v>2522</v>
      </c>
      <c r="AP42" s="68">
        <v>2745</v>
      </c>
      <c r="AQ42" s="25">
        <f t="shared" si="0"/>
        <v>13640</v>
      </c>
      <c r="AR42" s="25">
        <f t="shared" si="1"/>
        <v>25444</v>
      </c>
      <c r="AS42" s="25">
        <f t="shared" si="2"/>
        <v>39084</v>
      </c>
      <c r="AU42"/>
      <c r="AV42"/>
    </row>
    <row r="43" spans="1:52" ht="14.4" x14ac:dyDescent="0.3">
      <c r="F43" s="76"/>
      <c r="G43" s="77"/>
      <c r="H43" s="77"/>
      <c r="I43" s="77"/>
      <c r="J43" s="77"/>
      <c r="K43" s="77"/>
      <c r="L43" s="78"/>
      <c r="O43" s="112" t="s">
        <v>55</v>
      </c>
      <c r="P43" s="25" t="s">
        <v>65</v>
      </c>
      <c r="Q43" s="25" t="s">
        <v>62</v>
      </c>
      <c r="R43" s="25" t="s">
        <v>61</v>
      </c>
      <c r="S43" s="25">
        <v>125</v>
      </c>
      <c r="T43" s="25">
        <v>130</v>
      </c>
      <c r="U43" s="25">
        <v>143</v>
      </c>
      <c r="V43" s="25">
        <v>144</v>
      </c>
      <c r="W43" s="25">
        <v>151</v>
      </c>
      <c r="X43" s="25">
        <v>164</v>
      </c>
      <c r="Y43" s="25">
        <v>175</v>
      </c>
      <c r="Z43" s="25">
        <v>180</v>
      </c>
      <c r="AA43" s="25">
        <v>188</v>
      </c>
      <c r="AB43" s="25">
        <v>206</v>
      </c>
      <c r="AC43" s="25">
        <v>211</v>
      </c>
      <c r="AD43" s="25">
        <v>231</v>
      </c>
      <c r="AE43" s="25">
        <v>241</v>
      </c>
      <c r="AF43" s="25">
        <v>249</v>
      </c>
      <c r="AG43" s="25">
        <v>264</v>
      </c>
      <c r="AH43" s="25">
        <v>280</v>
      </c>
      <c r="AI43" s="25">
        <v>300</v>
      </c>
      <c r="AJ43" s="25">
        <v>308</v>
      </c>
      <c r="AK43" s="25">
        <v>329</v>
      </c>
      <c r="AL43" s="25">
        <v>342</v>
      </c>
      <c r="AM43" s="25">
        <v>345</v>
      </c>
      <c r="AN43" s="25">
        <v>349</v>
      </c>
      <c r="AO43" s="25">
        <v>361</v>
      </c>
      <c r="AP43" s="25">
        <v>381</v>
      </c>
      <c r="AQ43" s="25">
        <f t="shared" si="0"/>
        <v>2048</v>
      </c>
      <c r="AR43" s="25">
        <f t="shared" si="1"/>
        <v>3749</v>
      </c>
      <c r="AS43" s="25">
        <f t="shared" si="2"/>
        <v>5797</v>
      </c>
      <c r="AU43"/>
      <c r="AV43"/>
    </row>
    <row r="44" spans="1:52" ht="14.4" x14ac:dyDescent="0.3">
      <c r="F44" s="76"/>
      <c r="G44" s="77"/>
      <c r="H44" s="77"/>
      <c r="I44" s="77"/>
      <c r="J44" s="77"/>
      <c r="K44" s="77"/>
      <c r="L44" s="78"/>
      <c r="O44" s="112" t="s">
        <v>55</v>
      </c>
      <c r="P44" s="25" t="s">
        <v>65</v>
      </c>
      <c r="Q44" s="25" t="s">
        <v>63</v>
      </c>
      <c r="R44" s="25" t="s">
        <v>58</v>
      </c>
      <c r="S44" s="25">
        <v>955</v>
      </c>
      <c r="T44" s="25">
        <v>968</v>
      </c>
      <c r="U44" s="68">
        <v>1042</v>
      </c>
      <c r="V44" s="68">
        <v>1145</v>
      </c>
      <c r="W44" s="68">
        <v>1206</v>
      </c>
      <c r="X44" s="68">
        <v>1240</v>
      </c>
      <c r="Y44" s="68">
        <v>1354</v>
      </c>
      <c r="Z44" s="68">
        <v>1384</v>
      </c>
      <c r="AA44" s="68">
        <v>1478</v>
      </c>
      <c r="AB44" s="68">
        <v>1518</v>
      </c>
      <c r="AC44" s="68">
        <v>1582</v>
      </c>
      <c r="AD44" s="68">
        <v>1589</v>
      </c>
      <c r="AE44" s="68">
        <v>1747</v>
      </c>
      <c r="AF44" s="68">
        <v>1876</v>
      </c>
      <c r="AG44" s="68">
        <v>1943</v>
      </c>
      <c r="AH44" s="68">
        <v>2101</v>
      </c>
      <c r="AI44" s="68">
        <v>2117</v>
      </c>
      <c r="AJ44" s="68">
        <v>2164</v>
      </c>
      <c r="AK44" s="68">
        <v>2261</v>
      </c>
      <c r="AL44" s="68">
        <v>2357</v>
      </c>
      <c r="AM44" s="68">
        <v>2526</v>
      </c>
      <c r="AN44" s="68">
        <v>2690</v>
      </c>
      <c r="AO44" s="68">
        <v>2831</v>
      </c>
      <c r="AP44" s="68">
        <v>2991</v>
      </c>
      <c r="AQ44" s="25">
        <f t="shared" si="0"/>
        <v>15461</v>
      </c>
      <c r="AR44" s="25">
        <f t="shared" si="1"/>
        <v>27604</v>
      </c>
      <c r="AS44" s="25">
        <f t="shared" si="2"/>
        <v>43065</v>
      </c>
      <c r="AU44"/>
      <c r="AV44"/>
    </row>
    <row r="45" spans="1:52" ht="14.4" x14ac:dyDescent="0.3">
      <c r="F45" s="76"/>
      <c r="G45" s="77"/>
      <c r="H45" s="77"/>
      <c r="I45" s="77"/>
      <c r="J45" s="77"/>
      <c r="K45" s="77"/>
      <c r="L45" s="78"/>
      <c r="O45" s="112" t="s">
        <v>55</v>
      </c>
      <c r="P45" s="25" t="s">
        <v>65</v>
      </c>
      <c r="Q45" s="25" t="s">
        <v>63</v>
      </c>
      <c r="R45" s="25" t="s">
        <v>59</v>
      </c>
      <c r="S45" s="25">
        <v>704</v>
      </c>
      <c r="T45" s="25">
        <v>749</v>
      </c>
      <c r="U45" s="25">
        <v>811</v>
      </c>
      <c r="V45" s="25">
        <v>821</v>
      </c>
      <c r="W45" s="25">
        <v>888</v>
      </c>
      <c r="X45" s="25">
        <v>937</v>
      </c>
      <c r="Y45" s="25">
        <v>978</v>
      </c>
      <c r="Z45" s="68">
        <v>1072</v>
      </c>
      <c r="AA45" s="68">
        <v>1124</v>
      </c>
      <c r="AB45" s="68">
        <v>1137</v>
      </c>
      <c r="AC45" s="68">
        <v>1190</v>
      </c>
      <c r="AD45" s="68">
        <v>1190</v>
      </c>
      <c r="AE45" s="68">
        <v>1257</v>
      </c>
      <c r="AF45" s="68">
        <v>1267</v>
      </c>
      <c r="AG45" s="68">
        <v>1327</v>
      </c>
      <c r="AH45" s="68">
        <v>1381</v>
      </c>
      <c r="AI45" s="68">
        <v>1455</v>
      </c>
      <c r="AJ45" s="68">
        <v>1479</v>
      </c>
      <c r="AK45" s="68">
        <v>1540</v>
      </c>
      <c r="AL45" s="68">
        <v>1635</v>
      </c>
      <c r="AM45" s="68">
        <v>1645</v>
      </c>
      <c r="AN45" s="68">
        <v>1684</v>
      </c>
      <c r="AO45" s="68">
        <v>1818</v>
      </c>
      <c r="AP45" s="68">
        <v>1998</v>
      </c>
      <c r="AQ45" s="25">
        <f t="shared" si="0"/>
        <v>11601</v>
      </c>
      <c r="AR45" s="25">
        <f t="shared" si="1"/>
        <v>18486</v>
      </c>
      <c r="AS45" s="25">
        <f t="shared" si="2"/>
        <v>30087</v>
      </c>
      <c r="AU45"/>
      <c r="AV45"/>
    </row>
    <row r="46" spans="1:52" ht="14.4" x14ac:dyDescent="0.3">
      <c r="F46" s="79"/>
      <c r="G46" s="80"/>
      <c r="H46" s="80"/>
      <c r="I46" s="80"/>
      <c r="J46" s="80"/>
      <c r="K46" s="80"/>
      <c r="L46" s="81"/>
      <c r="O46" s="112" t="s">
        <v>55</v>
      </c>
      <c r="P46" s="25" t="s">
        <v>65</v>
      </c>
      <c r="Q46" s="25" t="s">
        <v>63</v>
      </c>
      <c r="R46" s="25" t="s">
        <v>60</v>
      </c>
      <c r="S46" s="25">
        <v>65</v>
      </c>
      <c r="T46" s="25">
        <v>69</v>
      </c>
      <c r="U46" s="25">
        <v>70</v>
      </c>
      <c r="V46" s="25">
        <v>76</v>
      </c>
      <c r="W46" s="25">
        <v>82</v>
      </c>
      <c r="X46" s="25">
        <v>88</v>
      </c>
      <c r="Y46" s="25">
        <v>88</v>
      </c>
      <c r="Z46" s="25">
        <v>94</v>
      </c>
      <c r="AA46" s="25">
        <v>102</v>
      </c>
      <c r="AB46" s="25">
        <v>102</v>
      </c>
      <c r="AC46" s="25">
        <v>108</v>
      </c>
      <c r="AD46" s="25">
        <v>111</v>
      </c>
      <c r="AE46" s="25">
        <v>117</v>
      </c>
      <c r="AF46" s="25">
        <v>126</v>
      </c>
      <c r="AG46" s="25">
        <v>127</v>
      </c>
      <c r="AH46" s="25">
        <v>135</v>
      </c>
      <c r="AI46" s="25">
        <v>144</v>
      </c>
      <c r="AJ46" s="25">
        <v>149</v>
      </c>
      <c r="AK46" s="25">
        <v>161</v>
      </c>
      <c r="AL46" s="25">
        <v>176</v>
      </c>
      <c r="AM46" s="25">
        <v>190</v>
      </c>
      <c r="AN46" s="25">
        <v>190</v>
      </c>
      <c r="AO46" s="25">
        <v>201</v>
      </c>
      <c r="AP46" s="25">
        <v>210</v>
      </c>
      <c r="AQ46" s="25">
        <f t="shared" si="0"/>
        <v>1055</v>
      </c>
      <c r="AR46" s="25">
        <f t="shared" si="1"/>
        <v>1926</v>
      </c>
      <c r="AS46" s="25">
        <f t="shared" si="2"/>
        <v>2981</v>
      </c>
      <c r="AU46"/>
      <c r="AV46"/>
    </row>
    <row r="47" spans="1:52" ht="14.4" x14ac:dyDescent="0.3">
      <c r="O47" s="112" t="s">
        <v>55</v>
      </c>
      <c r="P47" s="25" t="s">
        <v>65</v>
      </c>
      <c r="Q47" s="25" t="s">
        <v>63</v>
      </c>
      <c r="R47" s="25" t="s">
        <v>61</v>
      </c>
      <c r="S47" s="25">
        <v>858</v>
      </c>
      <c r="T47" s="25">
        <v>908</v>
      </c>
      <c r="U47" s="25">
        <v>947</v>
      </c>
      <c r="V47" s="25">
        <v>976</v>
      </c>
      <c r="W47" s="25">
        <v>997</v>
      </c>
      <c r="X47" s="68">
        <v>1024</v>
      </c>
      <c r="Y47" s="68">
        <v>1086</v>
      </c>
      <c r="Z47" s="68">
        <v>1122</v>
      </c>
      <c r="AA47" s="68">
        <v>1170</v>
      </c>
      <c r="AB47" s="68">
        <v>1204</v>
      </c>
      <c r="AC47" s="68">
        <v>1316</v>
      </c>
      <c r="AD47" s="68">
        <v>1338</v>
      </c>
      <c r="AE47" s="68">
        <v>1341</v>
      </c>
      <c r="AF47" s="68">
        <v>1455</v>
      </c>
      <c r="AG47" s="68">
        <v>1462</v>
      </c>
      <c r="AH47" s="68">
        <v>1577</v>
      </c>
      <c r="AI47" s="68">
        <v>1734</v>
      </c>
      <c r="AJ47" s="68">
        <v>1757</v>
      </c>
      <c r="AK47" s="68">
        <v>1779</v>
      </c>
      <c r="AL47" s="68">
        <v>1807</v>
      </c>
      <c r="AM47" s="68">
        <v>1809</v>
      </c>
      <c r="AN47" s="68">
        <v>1963</v>
      </c>
      <c r="AO47" s="68">
        <v>2148</v>
      </c>
      <c r="AP47" s="68">
        <v>2183</v>
      </c>
      <c r="AQ47" s="25">
        <f t="shared" si="0"/>
        <v>12946</v>
      </c>
      <c r="AR47" s="25">
        <f t="shared" si="1"/>
        <v>21015</v>
      </c>
      <c r="AS47" s="25">
        <f t="shared" si="2"/>
        <v>33961</v>
      </c>
      <c r="AU47"/>
      <c r="AV47"/>
    </row>
    <row r="48" spans="1:52" ht="14.4" x14ac:dyDescent="0.3">
      <c r="O48" s="112" t="s">
        <v>66</v>
      </c>
      <c r="P48" s="25" t="s">
        <v>56</v>
      </c>
      <c r="Q48" s="25" t="s">
        <v>57</v>
      </c>
      <c r="R48" s="25" t="s">
        <v>58</v>
      </c>
      <c r="S48" s="25">
        <v>160</v>
      </c>
      <c r="T48" s="25">
        <v>162</v>
      </c>
      <c r="U48" s="25">
        <v>177</v>
      </c>
      <c r="V48" s="25">
        <v>189</v>
      </c>
      <c r="W48" s="25">
        <v>200</v>
      </c>
      <c r="X48" s="25">
        <v>210</v>
      </c>
      <c r="Y48" s="25">
        <v>226</v>
      </c>
      <c r="Z48" s="25">
        <v>240</v>
      </c>
      <c r="AA48" s="25">
        <v>242</v>
      </c>
      <c r="AB48" s="25">
        <v>245</v>
      </c>
      <c r="AC48" s="25">
        <v>254</v>
      </c>
      <c r="AD48" s="25">
        <v>262</v>
      </c>
      <c r="AE48" s="25">
        <v>271</v>
      </c>
      <c r="AF48" s="25">
        <v>279</v>
      </c>
      <c r="AG48" s="25">
        <v>303</v>
      </c>
      <c r="AH48" s="25">
        <v>323</v>
      </c>
      <c r="AI48" s="25">
        <v>353</v>
      </c>
      <c r="AJ48" s="25">
        <v>355</v>
      </c>
      <c r="AK48" s="25">
        <v>366</v>
      </c>
      <c r="AL48" s="25">
        <v>398</v>
      </c>
      <c r="AM48" s="25">
        <v>430</v>
      </c>
      <c r="AN48" s="25">
        <v>462</v>
      </c>
      <c r="AO48" s="25">
        <v>467</v>
      </c>
      <c r="AP48" s="25">
        <v>485</v>
      </c>
      <c r="AQ48" s="25">
        <f t="shared" si="0"/>
        <v>2567</v>
      </c>
      <c r="AR48" s="25">
        <f t="shared" si="1"/>
        <v>4492</v>
      </c>
      <c r="AS48" s="25">
        <f t="shared" si="2"/>
        <v>7059</v>
      </c>
      <c r="AU48"/>
      <c r="AV48"/>
    </row>
    <row r="49" spans="6:48" ht="14.4" x14ac:dyDescent="0.3">
      <c r="O49" s="112" t="s">
        <v>66</v>
      </c>
      <c r="P49" s="25" t="s">
        <v>56</v>
      </c>
      <c r="Q49" s="25" t="s">
        <v>57</v>
      </c>
      <c r="R49" s="25" t="s">
        <v>59</v>
      </c>
      <c r="S49" s="25">
        <v>559</v>
      </c>
      <c r="T49" s="25">
        <v>586</v>
      </c>
      <c r="U49" s="25">
        <v>590</v>
      </c>
      <c r="V49" s="25">
        <v>597</v>
      </c>
      <c r="W49" s="25">
        <v>643</v>
      </c>
      <c r="X49" s="25">
        <v>707</v>
      </c>
      <c r="Y49" s="25">
        <v>768</v>
      </c>
      <c r="Z49" s="25">
        <v>830</v>
      </c>
      <c r="AA49" s="25">
        <v>870</v>
      </c>
      <c r="AB49" s="25">
        <v>948</v>
      </c>
      <c r="AC49" s="25">
        <v>982</v>
      </c>
      <c r="AD49" s="68">
        <v>1066</v>
      </c>
      <c r="AE49" s="68">
        <v>1086</v>
      </c>
      <c r="AF49" s="68">
        <v>1125</v>
      </c>
      <c r="AG49" s="68">
        <v>1129</v>
      </c>
      <c r="AH49" s="68">
        <v>1238</v>
      </c>
      <c r="AI49" s="68">
        <v>1308</v>
      </c>
      <c r="AJ49" s="68">
        <v>1412</v>
      </c>
      <c r="AK49" s="68">
        <v>1537</v>
      </c>
      <c r="AL49" s="68">
        <v>1670</v>
      </c>
      <c r="AM49" s="68">
        <v>1676</v>
      </c>
      <c r="AN49" s="68">
        <v>1694</v>
      </c>
      <c r="AO49" s="68">
        <v>1701</v>
      </c>
      <c r="AP49" s="68">
        <v>1815</v>
      </c>
      <c r="AQ49" s="25">
        <f t="shared" si="0"/>
        <v>9146</v>
      </c>
      <c r="AR49" s="25">
        <f t="shared" si="1"/>
        <v>17391</v>
      </c>
      <c r="AS49" s="25">
        <f t="shared" si="2"/>
        <v>26537</v>
      </c>
      <c r="AU49"/>
      <c r="AV49"/>
    </row>
    <row r="50" spans="6:48" ht="14.4" x14ac:dyDescent="0.3">
      <c r="F50" s="73"/>
      <c r="G50" s="74"/>
      <c r="H50" s="74"/>
      <c r="I50" s="74"/>
      <c r="J50" s="74"/>
      <c r="K50" s="74"/>
      <c r="L50" s="75"/>
      <c r="O50" s="112" t="s">
        <v>66</v>
      </c>
      <c r="P50" s="25" t="s">
        <v>56</v>
      </c>
      <c r="Q50" s="25" t="s">
        <v>57</v>
      </c>
      <c r="R50" s="25" t="s">
        <v>60</v>
      </c>
      <c r="S50" s="25">
        <v>892</v>
      </c>
      <c r="T50" s="25">
        <v>925</v>
      </c>
      <c r="U50" s="25">
        <v>926</v>
      </c>
      <c r="V50" s="25">
        <v>937</v>
      </c>
      <c r="W50" s="68">
        <v>1006</v>
      </c>
      <c r="X50" s="68">
        <v>1067</v>
      </c>
      <c r="Y50" s="68">
        <v>1073</v>
      </c>
      <c r="Z50" s="68">
        <v>1093</v>
      </c>
      <c r="AA50" s="68">
        <v>1194</v>
      </c>
      <c r="AB50" s="68">
        <v>1200</v>
      </c>
      <c r="AC50" s="68">
        <v>1206</v>
      </c>
      <c r="AD50" s="68">
        <v>1302</v>
      </c>
      <c r="AE50" s="68">
        <v>1362</v>
      </c>
      <c r="AF50" s="68">
        <v>1442</v>
      </c>
      <c r="AG50" s="68">
        <v>1532</v>
      </c>
      <c r="AH50" s="68">
        <v>1533</v>
      </c>
      <c r="AI50" s="68">
        <v>1587</v>
      </c>
      <c r="AJ50" s="68">
        <v>1737</v>
      </c>
      <c r="AK50" s="68">
        <v>1884</v>
      </c>
      <c r="AL50" s="68">
        <v>1994</v>
      </c>
      <c r="AM50" s="68">
        <v>2153</v>
      </c>
      <c r="AN50" s="68">
        <v>2292</v>
      </c>
      <c r="AO50" s="68">
        <v>2314</v>
      </c>
      <c r="AP50" s="68">
        <v>2529</v>
      </c>
      <c r="AQ50" s="25">
        <f t="shared" si="0"/>
        <v>12821</v>
      </c>
      <c r="AR50" s="25">
        <f t="shared" si="1"/>
        <v>22359</v>
      </c>
      <c r="AS50" s="25">
        <f t="shared" si="2"/>
        <v>35180</v>
      </c>
      <c r="AU50"/>
      <c r="AV50"/>
    </row>
    <row r="51" spans="6:48" ht="14.4" x14ac:dyDescent="0.3">
      <c r="F51" s="76"/>
      <c r="G51" s="77"/>
      <c r="H51" s="77"/>
      <c r="I51" s="77"/>
      <c r="J51" s="77"/>
      <c r="K51" s="77"/>
      <c r="L51" s="78"/>
      <c r="O51" s="112" t="s">
        <v>66</v>
      </c>
      <c r="P51" s="25" t="s">
        <v>56</v>
      </c>
      <c r="Q51" s="25" t="s">
        <v>57</v>
      </c>
      <c r="R51" s="25" t="s">
        <v>61</v>
      </c>
      <c r="S51" s="25">
        <v>26</v>
      </c>
      <c r="T51" s="25">
        <v>28</v>
      </c>
      <c r="U51" s="25">
        <v>29</v>
      </c>
      <c r="V51" s="25">
        <v>30</v>
      </c>
      <c r="W51" s="25">
        <v>31</v>
      </c>
      <c r="X51" s="25">
        <v>34</v>
      </c>
      <c r="Y51" s="25">
        <v>34</v>
      </c>
      <c r="Z51" s="25">
        <v>38</v>
      </c>
      <c r="AA51" s="25">
        <v>39</v>
      </c>
      <c r="AB51" s="25">
        <v>40</v>
      </c>
      <c r="AC51" s="25">
        <v>41</v>
      </c>
      <c r="AD51" s="25">
        <v>44</v>
      </c>
      <c r="AE51" s="25">
        <v>46</v>
      </c>
      <c r="AF51" s="25">
        <v>46</v>
      </c>
      <c r="AG51" s="25">
        <v>47</v>
      </c>
      <c r="AH51" s="25">
        <v>50</v>
      </c>
      <c r="AI51" s="25">
        <v>52</v>
      </c>
      <c r="AJ51" s="25">
        <v>54</v>
      </c>
      <c r="AK51" s="25">
        <v>55</v>
      </c>
      <c r="AL51" s="25">
        <v>57</v>
      </c>
      <c r="AM51" s="25">
        <v>59</v>
      </c>
      <c r="AN51" s="25">
        <v>64</v>
      </c>
      <c r="AO51" s="25">
        <v>69</v>
      </c>
      <c r="AP51" s="25">
        <v>75</v>
      </c>
      <c r="AQ51" s="25">
        <f t="shared" si="0"/>
        <v>414</v>
      </c>
      <c r="AR51" s="25">
        <f t="shared" si="1"/>
        <v>674</v>
      </c>
      <c r="AS51" s="25">
        <f t="shared" si="2"/>
        <v>1088</v>
      </c>
      <c r="AU51"/>
      <c r="AV51"/>
    </row>
    <row r="52" spans="6:48" ht="14.4" x14ac:dyDescent="0.3">
      <c r="F52" s="76"/>
      <c r="H52" s="77" t="s">
        <v>55</v>
      </c>
      <c r="I52" s="18" t="s">
        <v>56</v>
      </c>
      <c r="J52" s="77" t="s">
        <v>63</v>
      </c>
      <c r="L52" s="78"/>
      <c r="O52" s="112" t="s">
        <v>66</v>
      </c>
      <c r="P52" s="25" t="s">
        <v>56</v>
      </c>
      <c r="Q52" s="25" t="s">
        <v>62</v>
      </c>
      <c r="R52" s="25" t="s">
        <v>58</v>
      </c>
      <c r="S52" s="25">
        <v>685</v>
      </c>
      <c r="T52" s="25">
        <v>709</v>
      </c>
      <c r="U52" s="25">
        <v>711</v>
      </c>
      <c r="V52" s="25">
        <v>778</v>
      </c>
      <c r="W52" s="25">
        <v>829</v>
      </c>
      <c r="X52" s="25">
        <v>908</v>
      </c>
      <c r="Y52" s="25">
        <v>919</v>
      </c>
      <c r="Z52" s="25">
        <v>993</v>
      </c>
      <c r="AA52" s="25">
        <v>995</v>
      </c>
      <c r="AB52" s="68">
        <v>1069</v>
      </c>
      <c r="AC52" s="68">
        <v>1128</v>
      </c>
      <c r="AD52" s="68">
        <v>1198</v>
      </c>
      <c r="AE52" s="68">
        <v>1249</v>
      </c>
      <c r="AF52" s="68">
        <v>1361</v>
      </c>
      <c r="AG52" s="68">
        <v>1444</v>
      </c>
      <c r="AH52" s="68">
        <v>1575</v>
      </c>
      <c r="AI52" s="68">
        <v>1670</v>
      </c>
      <c r="AJ52" s="68">
        <v>1774</v>
      </c>
      <c r="AK52" s="68">
        <v>1874</v>
      </c>
      <c r="AL52" s="68">
        <v>1891</v>
      </c>
      <c r="AM52" s="68">
        <v>1931</v>
      </c>
      <c r="AN52" s="68">
        <v>1939</v>
      </c>
      <c r="AO52" s="68">
        <v>1941</v>
      </c>
      <c r="AP52" s="68">
        <v>2038</v>
      </c>
      <c r="AQ52" s="25">
        <f t="shared" si="0"/>
        <v>10922</v>
      </c>
      <c r="AR52" s="25">
        <f t="shared" si="1"/>
        <v>20687</v>
      </c>
      <c r="AS52" s="25">
        <f t="shared" si="2"/>
        <v>31609</v>
      </c>
      <c r="AU52"/>
      <c r="AV52"/>
    </row>
    <row r="53" spans="6:48" ht="14.4" x14ac:dyDescent="0.3">
      <c r="F53" s="76"/>
      <c r="G53" s="77"/>
      <c r="H53" s="77"/>
      <c r="I53" s="77"/>
      <c r="J53" s="77"/>
      <c r="K53" s="77"/>
      <c r="L53" s="78"/>
      <c r="O53" s="112" t="s">
        <v>66</v>
      </c>
      <c r="P53" s="25" t="s">
        <v>56</v>
      </c>
      <c r="Q53" s="25" t="s">
        <v>62</v>
      </c>
      <c r="R53" s="25" t="s">
        <v>59</v>
      </c>
      <c r="S53" s="25">
        <v>366</v>
      </c>
      <c r="T53" s="25">
        <v>397</v>
      </c>
      <c r="U53" s="25">
        <v>432</v>
      </c>
      <c r="V53" s="25">
        <v>455</v>
      </c>
      <c r="W53" s="25">
        <v>474</v>
      </c>
      <c r="X53" s="25">
        <v>508</v>
      </c>
      <c r="Y53" s="25">
        <v>544</v>
      </c>
      <c r="Z53" s="25">
        <v>553</v>
      </c>
      <c r="AA53" s="25">
        <v>578</v>
      </c>
      <c r="AB53" s="25">
        <v>589</v>
      </c>
      <c r="AC53" s="25">
        <v>627</v>
      </c>
      <c r="AD53" s="25">
        <v>678</v>
      </c>
      <c r="AE53" s="25">
        <v>738</v>
      </c>
      <c r="AF53" s="25">
        <v>764</v>
      </c>
      <c r="AG53" s="25">
        <v>818</v>
      </c>
      <c r="AH53" s="25">
        <v>828</v>
      </c>
      <c r="AI53" s="25">
        <v>888</v>
      </c>
      <c r="AJ53" s="25">
        <v>929</v>
      </c>
      <c r="AK53" s="25">
        <v>986</v>
      </c>
      <c r="AL53" s="68">
        <v>1073</v>
      </c>
      <c r="AM53" s="68">
        <v>1120</v>
      </c>
      <c r="AN53" s="68">
        <v>1142</v>
      </c>
      <c r="AO53" s="68">
        <v>1203</v>
      </c>
      <c r="AP53" s="68">
        <v>1309</v>
      </c>
      <c r="AQ53" s="25">
        <f t="shared" si="0"/>
        <v>6201</v>
      </c>
      <c r="AR53" s="25">
        <f t="shared" si="1"/>
        <v>11798</v>
      </c>
      <c r="AS53" s="25">
        <f t="shared" si="2"/>
        <v>17999</v>
      </c>
      <c r="AU53"/>
      <c r="AV53"/>
    </row>
    <row r="54" spans="6:48" ht="14.4" x14ac:dyDescent="0.3">
      <c r="F54" s="76"/>
      <c r="H54" s="77"/>
      <c r="I54" s="77"/>
      <c r="J54" s="77"/>
      <c r="K54" s="77"/>
      <c r="L54" s="78"/>
      <c r="O54" s="112" t="s">
        <v>66</v>
      </c>
      <c r="P54" s="25" t="s">
        <v>56</v>
      </c>
      <c r="Q54" s="25" t="s">
        <v>62</v>
      </c>
      <c r="R54" s="25" t="s">
        <v>60</v>
      </c>
      <c r="S54" s="25">
        <v>192</v>
      </c>
      <c r="T54" s="25">
        <v>198</v>
      </c>
      <c r="U54" s="25">
        <v>214</v>
      </c>
      <c r="V54" s="25">
        <v>215</v>
      </c>
      <c r="W54" s="25">
        <v>220</v>
      </c>
      <c r="X54" s="25">
        <v>224</v>
      </c>
      <c r="Y54" s="25">
        <v>228</v>
      </c>
      <c r="Z54" s="25">
        <v>240</v>
      </c>
      <c r="AA54" s="25">
        <v>249</v>
      </c>
      <c r="AB54" s="25">
        <v>270</v>
      </c>
      <c r="AC54" s="25">
        <v>287</v>
      </c>
      <c r="AD54" s="25">
        <v>302</v>
      </c>
      <c r="AE54" s="25">
        <v>325</v>
      </c>
      <c r="AF54" s="25">
        <v>350</v>
      </c>
      <c r="AG54" s="25">
        <v>362</v>
      </c>
      <c r="AH54" s="25">
        <v>396</v>
      </c>
      <c r="AI54" s="25">
        <v>404</v>
      </c>
      <c r="AJ54" s="25">
        <v>407</v>
      </c>
      <c r="AK54" s="25">
        <v>419</v>
      </c>
      <c r="AL54" s="25">
        <v>458</v>
      </c>
      <c r="AM54" s="25">
        <v>464</v>
      </c>
      <c r="AN54" s="25">
        <v>494</v>
      </c>
      <c r="AO54" s="25">
        <v>538</v>
      </c>
      <c r="AP54" s="25">
        <v>562</v>
      </c>
      <c r="AQ54" s="25">
        <f t="shared" si="0"/>
        <v>2839</v>
      </c>
      <c r="AR54" s="25">
        <f t="shared" si="1"/>
        <v>5179</v>
      </c>
      <c r="AS54" s="25">
        <f t="shared" si="2"/>
        <v>8018</v>
      </c>
      <c r="AU54"/>
      <c r="AV54"/>
    </row>
    <row r="55" spans="6:48" ht="14.4" x14ac:dyDescent="0.3">
      <c r="F55" s="76"/>
      <c r="H55" s="77"/>
      <c r="I55" s="77"/>
      <c r="J55" s="77"/>
      <c r="K55" s="77"/>
      <c r="L55" s="78"/>
      <c r="O55" s="112" t="s">
        <v>66</v>
      </c>
      <c r="P55" s="25" t="s">
        <v>56</v>
      </c>
      <c r="Q55" s="25" t="s">
        <v>62</v>
      </c>
      <c r="R55" s="25" t="s">
        <v>61</v>
      </c>
      <c r="S55" s="25">
        <v>135</v>
      </c>
      <c r="T55" s="25">
        <v>139</v>
      </c>
      <c r="U55" s="25">
        <v>152</v>
      </c>
      <c r="V55" s="25">
        <v>165</v>
      </c>
      <c r="W55" s="25">
        <v>178</v>
      </c>
      <c r="X55" s="25">
        <v>194</v>
      </c>
      <c r="Y55" s="25">
        <v>194</v>
      </c>
      <c r="Z55" s="25">
        <v>203</v>
      </c>
      <c r="AA55" s="25">
        <v>205</v>
      </c>
      <c r="AB55" s="25">
        <v>221</v>
      </c>
      <c r="AC55" s="25">
        <v>231</v>
      </c>
      <c r="AD55" s="25">
        <v>235</v>
      </c>
      <c r="AE55" s="25">
        <v>251</v>
      </c>
      <c r="AF55" s="25">
        <v>253</v>
      </c>
      <c r="AG55" s="25">
        <v>262</v>
      </c>
      <c r="AH55" s="25">
        <v>266</v>
      </c>
      <c r="AI55" s="25">
        <v>284</v>
      </c>
      <c r="AJ55" s="25">
        <v>285</v>
      </c>
      <c r="AK55" s="25">
        <v>294</v>
      </c>
      <c r="AL55" s="25">
        <v>301</v>
      </c>
      <c r="AM55" s="25">
        <v>324</v>
      </c>
      <c r="AN55" s="25">
        <v>341</v>
      </c>
      <c r="AO55" s="25">
        <v>357</v>
      </c>
      <c r="AP55" s="25">
        <v>373</v>
      </c>
      <c r="AQ55" s="25">
        <f t="shared" si="0"/>
        <v>2252</v>
      </c>
      <c r="AR55" s="25">
        <f t="shared" si="1"/>
        <v>3591</v>
      </c>
      <c r="AS55" s="25">
        <f t="shared" si="2"/>
        <v>5843</v>
      </c>
      <c r="AU55"/>
      <c r="AV55"/>
    </row>
    <row r="56" spans="6:48" ht="14.4" x14ac:dyDescent="0.3">
      <c r="F56" s="76"/>
      <c r="G56" s="109" t="s">
        <v>0</v>
      </c>
      <c r="H56" s="110" t="s">
        <v>195</v>
      </c>
      <c r="I56" s="109" t="s">
        <v>196</v>
      </c>
      <c r="J56" s="77"/>
      <c r="K56" s="77"/>
      <c r="L56" s="78"/>
      <c r="O56" s="112" t="s">
        <v>66</v>
      </c>
      <c r="P56" s="25" t="s">
        <v>56</v>
      </c>
      <c r="Q56" s="25" t="s">
        <v>63</v>
      </c>
      <c r="R56" s="25" t="s">
        <v>58</v>
      </c>
      <c r="S56" s="25">
        <v>177</v>
      </c>
      <c r="T56" s="25">
        <v>184</v>
      </c>
      <c r="U56" s="25">
        <v>201</v>
      </c>
      <c r="V56" s="25">
        <v>219</v>
      </c>
      <c r="W56" s="25">
        <v>241</v>
      </c>
      <c r="X56" s="25">
        <v>254</v>
      </c>
      <c r="Y56" s="25">
        <v>269</v>
      </c>
      <c r="Z56" s="25">
        <v>279</v>
      </c>
      <c r="AA56" s="25">
        <v>287</v>
      </c>
      <c r="AB56" s="25">
        <v>304</v>
      </c>
      <c r="AC56" s="25">
        <v>331</v>
      </c>
      <c r="AD56" s="25">
        <v>340</v>
      </c>
      <c r="AE56" s="25">
        <v>361</v>
      </c>
      <c r="AF56" s="25">
        <v>366</v>
      </c>
      <c r="AG56" s="25">
        <v>376</v>
      </c>
      <c r="AH56" s="25">
        <v>406</v>
      </c>
      <c r="AI56" s="25">
        <v>428</v>
      </c>
      <c r="AJ56" s="25">
        <v>433</v>
      </c>
      <c r="AK56" s="25">
        <v>442</v>
      </c>
      <c r="AL56" s="25">
        <v>459</v>
      </c>
      <c r="AM56" s="25">
        <v>475</v>
      </c>
      <c r="AN56" s="25">
        <v>508</v>
      </c>
      <c r="AO56" s="25">
        <v>554</v>
      </c>
      <c r="AP56" s="25">
        <v>567</v>
      </c>
      <c r="AQ56" s="25">
        <f t="shared" si="0"/>
        <v>3086</v>
      </c>
      <c r="AR56" s="25">
        <f t="shared" si="1"/>
        <v>5375</v>
      </c>
      <c r="AS56" s="25">
        <f t="shared" si="2"/>
        <v>8461</v>
      </c>
      <c r="AU56"/>
      <c r="AV56"/>
    </row>
    <row r="57" spans="6:48" ht="14.4" x14ac:dyDescent="0.3">
      <c r="F57" s="76"/>
      <c r="G57" s="25" t="s">
        <v>58</v>
      </c>
      <c r="H57" s="25">
        <f>SUMIFS(AQ$12:AQ$155,$O$12:$O$155,$H$52,$P$12:$P$155,$I$52,$Q$12:$Q$155,$J$52,$R$12:$R$155,$G57)</f>
        <v>6170</v>
      </c>
      <c r="I57" s="25">
        <f>SUMIFS(AR$12:AR$155,$O$12:$O$155,$H$52,$P$12:$P$155,$I$52,$Q$12:$Q$155,$J$52,$R$12:$R$155,$G57)</f>
        <v>11980</v>
      </c>
      <c r="J57" s="77"/>
      <c r="K57" s="77"/>
      <c r="L57" s="78"/>
      <c r="O57" s="112" t="s">
        <v>66</v>
      </c>
      <c r="P57" s="25" t="s">
        <v>56</v>
      </c>
      <c r="Q57" s="25" t="s">
        <v>63</v>
      </c>
      <c r="R57" s="25" t="s">
        <v>59</v>
      </c>
      <c r="S57" s="25">
        <v>213</v>
      </c>
      <c r="T57" s="25">
        <v>224</v>
      </c>
      <c r="U57" s="25">
        <v>242</v>
      </c>
      <c r="V57" s="25">
        <v>246</v>
      </c>
      <c r="W57" s="25">
        <v>270</v>
      </c>
      <c r="X57" s="25">
        <v>283</v>
      </c>
      <c r="Y57" s="25">
        <v>295</v>
      </c>
      <c r="Z57" s="25">
        <v>305</v>
      </c>
      <c r="AA57" s="25">
        <v>324</v>
      </c>
      <c r="AB57" s="25">
        <v>339</v>
      </c>
      <c r="AC57" s="25">
        <v>342</v>
      </c>
      <c r="AD57" s="25">
        <v>365</v>
      </c>
      <c r="AE57" s="25">
        <v>388</v>
      </c>
      <c r="AF57" s="25">
        <v>412</v>
      </c>
      <c r="AG57" s="25">
        <v>433</v>
      </c>
      <c r="AH57" s="25">
        <v>463</v>
      </c>
      <c r="AI57" s="25">
        <v>486</v>
      </c>
      <c r="AJ57" s="25">
        <v>503</v>
      </c>
      <c r="AK57" s="25">
        <v>526</v>
      </c>
      <c r="AL57" s="25">
        <v>570</v>
      </c>
      <c r="AM57" s="25">
        <v>625</v>
      </c>
      <c r="AN57" s="25">
        <v>626</v>
      </c>
      <c r="AO57" s="25">
        <v>649</v>
      </c>
      <c r="AP57" s="25">
        <v>657</v>
      </c>
      <c r="AQ57" s="25">
        <f t="shared" si="0"/>
        <v>3448</v>
      </c>
      <c r="AR57" s="25">
        <f t="shared" si="1"/>
        <v>6338</v>
      </c>
      <c r="AS57" s="25">
        <f t="shared" si="2"/>
        <v>9786</v>
      </c>
      <c r="AU57"/>
      <c r="AV57"/>
    </row>
    <row r="58" spans="6:48" ht="14.4" x14ac:dyDescent="0.3">
      <c r="F58" s="76"/>
      <c r="G58" s="25" t="s">
        <v>59</v>
      </c>
      <c r="H58" s="25">
        <f t="shared" ref="H58:I60" si="10">SUMIFS(AQ$12:AQ$155,$O$12:$O$155,$H$52,$P$12:$P$155,$I$52,$Q$12:$Q$155,$J$52,$R$12:$R$155,$G58)</f>
        <v>4500</v>
      </c>
      <c r="I58" s="25">
        <f t="shared" si="10"/>
        <v>7771</v>
      </c>
      <c r="J58" s="77"/>
      <c r="K58" s="77"/>
      <c r="L58" s="78"/>
      <c r="O58" s="112" t="s">
        <v>66</v>
      </c>
      <c r="P58" s="25" t="s">
        <v>56</v>
      </c>
      <c r="Q58" s="25" t="s">
        <v>63</v>
      </c>
      <c r="R58" s="25" t="s">
        <v>60</v>
      </c>
      <c r="S58" s="25">
        <v>162</v>
      </c>
      <c r="T58" s="25">
        <v>166</v>
      </c>
      <c r="U58" s="25">
        <v>182</v>
      </c>
      <c r="V58" s="25">
        <v>199</v>
      </c>
      <c r="W58" s="25">
        <v>202</v>
      </c>
      <c r="X58" s="25">
        <v>221</v>
      </c>
      <c r="Y58" s="25">
        <v>233</v>
      </c>
      <c r="Z58" s="25">
        <v>248</v>
      </c>
      <c r="AA58" s="25">
        <v>272</v>
      </c>
      <c r="AB58" s="25">
        <v>278</v>
      </c>
      <c r="AC58" s="25">
        <v>281</v>
      </c>
      <c r="AD58" s="25">
        <v>286</v>
      </c>
      <c r="AE58" s="25">
        <v>312</v>
      </c>
      <c r="AF58" s="25">
        <v>323</v>
      </c>
      <c r="AG58" s="25">
        <v>345</v>
      </c>
      <c r="AH58" s="25">
        <v>355</v>
      </c>
      <c r="AI58" s="25">
        <v>387</v>
      </c>
      <c r="AJ58" s="25">
        <v>389</v>
      </c>
      <c r="AK58" s="25">
        <v>411</v>
      </c>
      <c r="AL58" s="25">
        <v>450</v>
      </c>
      <c r="AM58" s="25">
        <v>461</v>
      </c>
      <c r="AN58" s="25">
        <v>468</v>
      </c>
      <c r="AO58" s="25">
        <v>476</v>
      </c>
      <c r="AP58" s="25">
        <v>500</v>
      </c>
      <c r="AQ58" s="25">
        <f t="shared" si="0"/>
        <v>2730</v>
      </c>
      <c r="AR58" s="25">
        <f t="shared" si="1"/>
        <v>4877</v>
      </c>
      <c r="AS58" s="25">
        <f t="shared" si="2"/>
        <v>7607</v>
      </c>
      <c r="AU58"/>
      <c r="AV58"/>
    </row>
    <row r="59" spans="6:48" ht="14.4" x14ac:dyDescent="0.3">
      <c r="F59" s="76"/>
      <c r="G59" s="25" t="s">
        <v>60</v>
      </c>
      <c r="H59" s="25">
        <f t="shared" si="10"/>
        <v>11892</v>
      </c>
      <c r="I59" s="25">
        <f t="shared" si="10"/>
        <v>23087</v>
      </c>
      <c r="J59" s="77"/>
      <c r="K59" s="77"/>
      <c r="L59" s="78"/>
      <c r="O59" s="112" t="s">
        <v>66</v>
      </c>
      <c r="P59" s="25" t="s">
        <v>56</v>
      </c>
      <c r="Q59" s="25" t="s">
        <v>63</v>
      </c>
      <c r="R59" s="25" t="s">
        <v>61</v>
      </c>
      <c r="S59" s="25">
        <v>288</v>
      </c>
      <c r="T59" s="25">
        <v>304</v>
      </c>
      <c r="U59" s="25">
        <v>307</v>
      </c>
      <c r="V59" s="25">
        <v>329</v>
      </c>
      <c r="W59" s="25">
        <v>352</v>
      </c>
      <c r="X59" s="25">
        <v>355</v>
      </c>
      <c r="Y59" s="25">
        <v>390</v>
      </c>
      <c r="Z59" s="25">
        <v>401</v>
      </c>
      <c r="AA59" s="25">
        <v>412</v>
      </c>
      <c r="AB59" s="25">
        <v>435</v>
      </c>
      <c r="AC59" s="25">
        <v>476</v>
      </c>
      <c r="AD59" s="25">
        <v>478</v>
      </c>
      <c r="AE59" s="25">
        <v>522</v>
      </c>
      <c r="AF59" s="25">
        <v>526</v>
      </c>
      <c r="AG59" s="25">
        <v>576</v>
      </c>
      <c r="AH59" s="25">
        <v>609</v>
      </c>
      <c r="AI59" s="25">
        <v>649</v>
      </c>
      <c r="AJ59" s="25">
        <v>689</v>
      </c>
      <c r="AK59" s="25">
        <v>697</v>
      </c>
      <c r="AL59" s="25">
        <v>704</v>
      </c>
      <c r="AM59" s="25">
        <v>749</v>
      </c>
      <c r="AN59" s="25">
        <v>759</v>
      </c>
      <c r="AO59" s="25">
        <v>800</v>
      </c>
      <c r="AP59" s="25">
        <v>851</v>
      </c>
      <c r="AQ59" s="25">
        <f t="shared" si="0"/>
        <v>4527</v>
      </c>
      <c r="AR59" s="25">
        <f t="shared" si="1"/>
        <v>8131</v>
      </c>
      <c r="AS59" s="25">
        <f t="shared" si="2"/>
        <v>12658</v>
      </c>
      <c r="AU59"/>
      <c r="AV59"/>
    </row>
    <row r="60" spans="6:48" ht="14.4" x14ac:dyDescent="0.3">
      <c r="F60" s="76"/>
      <c r="G60" s="25" t="s">
        <v>61</v>
      </c>
      <c r="H60" s="25">
        <f t="shared" si="10"/>
        <v>7060</v>
      </c>
      <c r="I60" s="25">
        <f t="shared" si="10"/>
        <v>11546</v>
      </c>
      <c r="J60" s="77"/>
      <c r="K60" s="77"/>
      <c r="L60" s="78"/>
      <c r="O60" s="112" t="s">
        <v>66</v>
      </c>
      <c r="P60" s="25" t="s">
        <v>64</v>
      </c>
      <c r="Q60" s="25" t="s">
        <v>57</v>
      </c>
      <c r="R60" s="25" t="s">
        <v>58</v>
      </c>
      <c r="S60" s="25">
        <v>162</v>
      </c>
      <c r="T60" s="25">
        <v>178</v>
      </c>
      <c r="U60" s="25">
        <v>195</v>
      </c>
      <c r="V60" s="25">
        <v>196</v>
      </c>
      <c r="W60" s="25">
        <v>206</v>
      </c>
      <c r="X60" s="25">
        <v>221</v>
      </c>
      <c r="Y60" s="25">
        <v>227</v>
      </c>
      <c r="Z60" s="25">
        <v>234</v>
      </c>
      <c r="AA60" s="25">
        <v>255</v>
      </c>
      <c r="AB60" s="25">
        <v>259</v>
      </c>
      <c r="AC60" s="25">
        <v>285</v>
      </c>
      <c r="AD60" s="25">
        <v>310</v>
      </c>
      <c r="AE60" s="25">
        <v>327</v>
      </c>
      <c r="AF60" s="25">
        <v>346</v>
      </c>
      <c r="AG60" s="25">
        <v>379</v>
      </c>
      <c r="AH60" s="25">
        <v>399</v>
      </c>
      <c r="AI60" s="25">
        <v>402</v>
      </c>
      <c r="AJ60" s="25">
        <v>410</v>
      </c>
      <c r="AK60" s="25">
        <v>436</v>
      </c>
      <c r="AL60" s="25">
        <v>451</v>
      </c>
      <c r="AM60" s="25">
        <v>460</v>
      </c>
      <c r="AN60" s="25">
        <v>500</v>
      </c>
      <c r="AO60" s="25">
        <v>539</v>
      </c>
      <c r="AP60" s="25">
        <v>553</v>
      </c>
      <c r="AQ60" s="25">
        <f t="shared" si="0"/>
        <v>2728</v>
      </c>
      <c r="AR60" s="25">
        <f t="shared" si="1"/>
        <v>5202</v>
      </c>
      <c r="AS60" s="25">
        <f t="shared" si="2"/>
        <v>7930</v>
      </c>
      <c r="AU60"/>
      <c r="AV60"/>
    </row>
    <row r="61" spans="6:48" ht="14.4" x14ac:dyDescent="0.3">
      <c r="F61" s="76"/>
      <c r="G61" s="77"/>
      <c r="H61" s="77"/>
      <c r="I61" s="77"/>
      <c r="J61" s="77"/>
      <c r="K61" s="77"/>
      <c r="L61" s="78"/>
      <c r="O61" s="112" t="s">
        <v>66</v>
      </c>
      <c r="P61" s="25" t="s">
        <v>64</v>
      </c>
      <c r="Q61" s="25" t="s">
        <v>57</v>
      </c>
      <c r="R61" s="25" t="s">
        <v>59</v>
      </c>
      <c r="S61" s="25">
        <v>436</v>
      </c>
      <c r="T61" s="25">
        <v>438</v>
      </c>
      <c r="U61" s="25">
        <v>471</v>
      </c>
      <c r="V61" s="25">
        <v>492</v>
      </c>
      <c r="W61" s="25">
        <v>511</v>
      </c>
      <c r="X61" s="25">
        <v>546</v>
      </c>
      <c r="Y61" s="25">
        <v>558</v>
      </c>
      <c r="Z61" s="25">
        <v>591</v>
      </c>
      <c r="AA61" s="25">
        <v>614</v>
      </c>
      <c r="AB61" s="25">
        <v>623</v>
      </c>
      <c r="AC61" s="25">
        <v>656</v>
      </c>
      <c r="AD61" s="25">
        <v>689</v>
      </c>
      <c r="AE61" s="25">
        <v>753</v>
      </c>
      <c r="AF61" s="25">
        <v>755</v>
      </c>
      <c r="AG61" s="25">
        <v>800</v>
      </c>
      <c r="AH61" s="25">
        <v>862</v>
      </c>
      <c r="AI61" s="25">
        <v>926</v>
      </c>
      <c r="AJ61" s="25">
        <v>955</v>
      </c>
      <c r="AK61" s="68">
        <v>1025</v>
      </c>
      <c r="AL61" s="68">
        <v>1046</v>
      </c>
      <c r="AM61" s="68">
        <v>1052</v>
      </c>
      <c r="AN61" s="68">
        <v>1084</v>
      </c>
      <c r="AO61" s="68">
        <v>1085</v>
      </c>
      <c r="AP61" s="68">
        <v>1086</v>
      </c>
      <c r="AQ61" s="25">
        <f t="shared" si="0"/>
        <v>6625</v>
      </c>
      <c r="AR61" s="25">
        <f t="shared" si="1"/>
        <v>11429</v>
      </c>
      <c r="AS61" s="25">
        <f t="shared" si="2"/>
        <v>18054</v>
      </c>
      <c r="AU61"/>
      <c r="AV61"/>
    </row>
    <row r="62" spans="6:48" ht="14.4" x14ac:dyDescent="0.3">
      <c r="F62" s="76"/>
      <c r="G62" s="77"/>
      <c r="H62" s="77"/>
      <c r="I62" s="77"/>
      <c r="J62" s="77"/>
      <c r="K62" s="77"/>
      <c r="L62" s="78"/>
      <c r="O62" s="112" t="s">
        <v>66</v>
      </c>
      <c r="P62" s="25" t="s">
        <v>64</v>
      </c>
      <c r="Q62" s="25" t="s">
        <v>57</v>
      </c>
      <c r="R62" s="25" t="s">
        <v>60</v>
      </c>
      <c r="S62" s="25">
        <v>71</v>
      </c>
      <c r="T62" s="25">
        <v>71</v>
      </c>
      <c r="U62" s="25">
        <v>74</v>
      </c>
      <c r="V62" s="25">
        <v>77</v>
      </c>
      <c r="W62" s="25">
        <v>79</v>
      </c>
      <c r="X62" s="25">
        <v>83</v>
      </c>
      <c r="Y62" s="25">
        <v>90</v>
      </c>
      <c r="Z62" s="25">
        <v>98</v>
      </c>
      <c r="AA62" s="25">
        <v>107</v>
      </c>
      <c r="AB62" s="25">
        <v>115</v>
      </c>
      <c r="AC62" s="25">
        <v>123</v>
      </c>
      <c r="AD62" s="25">
        <v>132</v>
      </c>
      <c r="AE62" s="25">
        <v>145</v>
      </c>
      <c r="AF62" s="25">
        <v>153</v>
      </c>
      <c r="AG62" s="25">
        <v>162</v>
      </c>
      <c r="AH62" s="25">
        <v>175</v>
      </c>
      <c r="AI62" s="25">
        <v>192</v>
      </c>
      <c r="AJ62" s="25">
        <v>200</v>
      </c>
      <c r="AK62" s="25">
        <v>216</v>
      </c>
      <c r="AL62" s="25">
        <v>226</v>
      </c>
      <c r="AM62" s="25">
        <v>231</v>
      </c>
      <c r="AN62" s="25">
        <v>246</v>
      </c>
      <c r="AO62" s="25">
        <v>248</v>
      </c>
      <c r="AP62" s="25">
        <v>258</v>
      </c>
      <c r="AQ62" s="25">
        <f t="shared" si="0"/>
        <v>1120</v>
      </c>
      <c r="AR62" s="25">
        <f t="shared" si="1"/>
        <v>2452</v>
      </c>
      <c r="AS62" s="25">
        <f t="shared" si="2"/>
        <v>3572</v>
      </c>
      <c r="AU62"/>
      <c r="AV62"/>
    </row>
    <row r="63" spans="6:48" ht="14.4" x14ac:dyDescent="0.3">
      <c r="F63" s="76"/>
      <c r="G63" s="77"/>
      <c r="H63" s="77"/>
      <c r="I63" s="77"/>
      <c r="J63" s="77"/>
      <c r="K63" s="77"/>
      <c r="L63" s="78"/>
      <c r="O63" s="112" t="s">
        <v>66</v>
      </c>
      <c r="P63" s="25" t="s">
        <v>64</v>
      </c>
      <c r="Q63" s="25" t="s">
        <v>57</v>
      </c>
      <c r="R63" s="25" t="s">
        <v>61</v>
      </c>
      <c r="S63" s="25">
        <v>902</v>
      </c>
      <c r="T63" s="25">
        <v>933</v>
      </c>
      <c r="U63" s="25">
        <v>940</v>
      </c>
      <c r="V63" s="68">
        <v>1014</v>
      </c>
      <c r="W63" s="68">
        <v>1103</v>
      </c>
      <c r="X63" s="68">
        <v>1163</v>
      </c>
      <c r="Y63" s="68">
        <v>1272</v>
      </c>
      <c r="Z63" s="68">
        <v>1286</v>
      </c>
      <c r="AA63" s="68">
        <v>1373</v>
      </c>
      <c r="AB63" s="68">
        <v>1427</v>
      </c>
      <c r="AC63" s="68">
        <v>1510</v>
      </c>
      <c r="AD63" s="68">
        <v>1570</v>
      </c>
      <c r="AE63" s="68">
        <v>1644</v>
      </c>
      <c r="AF63" s="68">
        <v>1662</v>
      </c>
      <c r="AG63" s="68">
        <v>1818</v>
      </c>
      <c r="AH63" s="68">
        <v>1963</v>
      </c>
      <c r="AI63" s="68">
        <v>2064</v>
      </c>
      <c r="AJ63" s="68">
        <v>2254</v>
      </c>
      <c r="AK63" s="68">
        <v>2362</v>
      </c>
      <c r="AL63" s="68">
        <v>2397</v>
      </c>
      <c r="AM63" s="68">
        <v>2610</v>
      </c>
      <c r="AN63" s="68">
        <v>2633</v>
      </c>
      <c r="AO63" s="68">
        <v>2685</v>
      </c>
      <c r="AP63" s="68">
        <v>2738</v>
      </c>
      <c r="AQ63" s="25">
        <f t="shared" si="0"/>
        <v>14493</v>
      </c>
      <c r="AR63" s="25">
        <f t="shared" si="1"/>
        <v>26830</v>
      </c>
      <c r="AS63" s="25">
        <f t="shared" si="2"/>
        <v>41323</v>
      </c>
      <c r="AU63"/>
      <c r="AV63"/>
    </row>
    <row r="64" spans="6:48" ht="14.4" x14ac:dyDescent="0.3">
      <c r="F64" s="76"/>
      <c r="G64" s="77"/>
      <c r="H64" s="77"/>
      <c r="I64" s="77"/>
      <c r="J64" s="77"/>
      <c r="K64" s="77"/>
      <c r="L64" s="78"/>
      <c r="O64" s="112" t="s">
        <v>66</v>
      </c>
      <c r="P64" s="25" t="s">
        <v>64</v>
      </c>
      <c r="Q64" s="25" t="s">
        <v>62</v>
      </c>
      <c r="R64" s="25" t="s">
        <v>58</v>
      </c>
      <c r="S64" s="25">
        <v>437</v>
      </c>
      <c r="T64" s="25">
        <v>448</v>
      </c>
      <c r="U64" s="25">
        <v>466</v>
      </c>
      <c r="V64" s="25">
        <v>492</v>
      </c>
      <c r="W64" s="25">
        <v>541</v>
      </c>
      <c r="X64" s="25">
        <v>546</v>
      </c>
      <c r="Y64" s="25">
        <v>550</v>
      </c>
      <c r="Z64" s="25">
        <v>560</v>
      </c>
      <c r="AA64" s="25">
        <v>596</v>
      </c>
      <c r="AB64" s="25">
        <v>636</v>
      </c>
      <c r="AC64" s="25">
        <v>682</v>
      </c>
      <c r="AD64" s="25">
        <v>708</v>
      </c>
      <c r="AE64" s="25">
        <v>768</v>
      </c>
      <c r="AF64" s="25">
        <v>827</v>
      </c>
      <c r="AG64" s="25">
        <v>869</v>
      </c>
      <c r="AH64" s="25">
        <v>871</v>
      </c>
      <c r="AI64" s="25">
        <v>908</v>
      </c>
      <c r="AJ64" s="25">
        <v>985</v>
      </c>
      <c r="AK64" s="68">
        <v>1017</v>
      </c>
      <c r="AL64" s="68">
        <v>1094</v>
      </c>
      <c r="AM64" s="68">
        <v>1099</v>
      </c>
      <c r="AN64" s="68">
        <v>1124</v>
      </c>
      <c r="AO64" s="68">
        <v>1214</v>
      </c>
      <c r="AP64" s="68">
        <v>1217</v>
      </c>
      <c r="AQ64" s="25">
        <f t="shared" si="0"/>
        <v>6662</v>
      </c>
      <c r="AR64" s="25">
        <f t="shared" si="1"/>
        <v>11993</v>
      </c>
      <c r="AS64" s="25">
        <f t="shared" si="2"/>
        <v>18655</v>
      </c>
      <c r="AU64"/>
      <c r="AV64"/>
    </row>
    <row r="65" spans="6:48" ht="14.4" x14ac:dyDescent="0.3">
      <c r="F65" s="76"/>
      <c r="G65" s="77"/>
      <c r="H65" s="77"/>
      <c r="I65" s="77"/>
      <c r="J65" s="77"/>
      <c r="K65" s="77"/>
      <c r="L65" s="78"/>
      <c r="O65" s="112" t="s">
        <v>66</v>
      </c>
      <c r="P65" s="25" t="s">
        <v>64</v>
      </c>
      <c r="Q65" s="25" t="s">
        <v>62</v>
      </c>
      <c r="R65" s="25" t="s">
        <v>59</v>
      </c>
      <c r="S65" s="25">
        <v>919</v>
      </c>
      <c r="T65" s="25">
        <v>995</v>
      </c>
      <c r="U65" s="68">
        <v>1044</v>
      </c>
      <c r="V65" s="68">
        <v>1060</v>
      </c>
      <c r="W65" s="68">
        <v>1114</v>
      </c>
      <c r="X65" s="68">
        <v>1211</v>
      </c>
      <c r="Y65" s="68">
        <v>1280</v>
      </c>
      <c r="Z65" s="68">
        <v>1307</v>
      </c>
      <c r="AA65" s="68">
        <v>1359</v>
      </c>
      <c r="AB65" s="68">
        <v>1456</v>
      </c>
      <c r="AC65" s="68">
        <v>1594</v>
      </c>
      <c r="AD65" s="68">
        <v>1738</v>
      </c>
      <c r="AE65" s="68">
        <v>1899</v>
      </c>
      <c r="AF65" s="68">
        <v>1998</v>
      </c>
      <c r="AG65" s="68">
        <v>2189</v>
      </c>
      <c r="AH65" s="68">
        <v>2225</v>
      </c>
      <c r="AI65" s="68">
        <v>2245</v>
      </c>
      <c r="AJ65" s="68">
        <v>2296</v>
      </c>
      <c r="AK65" s="68">
        <v>2406</v>
      </c>
      <c r="AL65" s="68">
        <v>2521</v>
      </c>
      <c r="AM65" s="68">
        <v>2564</v>
      </c>
      <c r="AN65" s="68">
        <v>2723</v>
      </c>
      <c r="AO65" s="68">
        <v>2810</v>
      </c>
      <c r="AP65" s="68">
        <v>2982</v>
      </c>
      <c r="AQ65" s="25">
        <f t="shared" si="0"/>
        <v>15077</v>
      </c>
      <c r="AR65" s="25">
        <f t="shared" si="1"/>
        <v>28858</v>
      </c>
      <c r="AS65" s="25">
        <f t="shared" si="2"/>
        <v>43935</v>
      </c>
      <c r="AU65"/>
      <c r="AV65"/>
    </row>
    <row r="66" spans="6:48" ht="14.4" x14ac:dyDescent="0.3">
      <c r="F66" s="76"/>
      <c r="G66" s="77"/>
      <c r="H66" s="77"/>
      <c r="I66" s="77"/>
      <c r="J66" s="77"/>
      <c r="K66" s="77"/>
      <c r="L66" s="78"/>
      <c r="O66" s="112" t="s">
        <v>66</v>
      </c>
      <c r="P66" s="25" t="s">
        <v>64</v>
      </c>
      <c r="Q66" s="25" t="s">
        <v>62</v>
      </c>
      <c r="R66" s="25" t="s">
        <v>60</v>
      </c>
      <c r="S66" s="25">
        <v>358</v>
      </c>
      <c r="T66" s="25">
        <v>388</v>
      </c>
      <c r="U66" s="25">
        <v>401</v>
      </c>
      <c r="V66" s="25">
        <v>418</v>
      </c>
      <c r="W66" s="25">
        <v>421</v>
      </c>
      <c r="X66" s="25">
        <v>449</v>
      </c>
      <c r="Y66" s="25">
        <v>449</v>
      </c>
      <c r="Z66" s="25">
        <v>456</v>
      </c>
      <c r="AA66" s="25">
        <v>463</v>
      </c>
      <c r="AB66" s="25">
        <v>465</v>
      </c>
      <c r="AC66" s="25">
        <v>509</v>
      </c>
      <c r="AD66" s="25">
        <v>516</v>
      </c>
      <c r="AE66" s="25">
        <v>567</v>
      </c>
      <c r="AF66" s="25">
        <v>606</v>
      </c>
      <c r="AG66" s="25">
        <v>649</v>
      </c>
      <c r="AH66" s="25">
        <v>693</v>
      </c>
      <c r="AI66" s="25">
        <v>714</v>
      </c>
      <c r="AJ66" s="25">
        <v>720</v>
      </c>
      <c r="AK66" s="25">
        <v>727</v>
      </c>
      <c r="AL66" s="25">
        <v>769</v>
      </c>
      <c r="AM66" s="25">
        <v>805</v>
      </c>
      <c r="AN66" s="25">
        <v>830</v>
      </c>
      <c r="AO66" s="25">
        <v>842</v>
      </c>
      <c r="AP66" s="25">
        <v>907</v>
      </c>
      <c r="AQ66" s="25">
        <f t="shared" si="0"/>
        <v>5293</v>
      </c>
      <c r="AR66" s="25">
        <f t="shared" si="1"/>
        <v>8829</v>
      </c>
      <c r="AS66" s="25">
        <f t="shared" si="2"/>
        <v>14122</v>
      </c>
      <c r="AU66"/>
      <c r="AV66"/>
    </row>
    <row r="67" spans="6:48" ht="14.4" x14ac:dyDescent="0.3">
      <c r="F67" s="76"/>
      <c r="G67" s="77"/>
      <c r="H67" s="77"/>
      <c r="I67" s="77"/>
      <c r="J67" s="77"/>
      <c r="K67" s="77"/>
      <c r="L67" s="78"/>
      <c r="O67" s="112" t="s">
        <v>66</v>
      </c>
      <c r="P67" s="25" t="s">
        <v>64</v>
      </c>
      <c r="Q67" s="25" t="s">
        <v>62</v>
      </c>
      <c r="R67" s="25" t="s">
        <v>61</v>
      </c>
      <c r="S67" s="25">
        <v>989</v>
      </c>
      <c r="T67" s="68">
        <v>1034</v>
      </c>
      <c r="U67" s="68">
        <v>1072</v>
      </c>
      <c r="V67" s="68">
        <v>1178</v>
      </c>
      <c r="W67" s="68">
        <v>1288</v>
      </c>
      <c r="X67" s="68">
        <v>1315</v>
      </c>
      <c r="Y67" s="68">
        <v>1440</v>
      </c>
      <c r="Z67" s="68">
        <v>1484</v>
      </c>
      <c r="AA67" s="68">
        <v>1632</v>
      </c>
      <c r="AB67" s="68">
        <v>1704</v>
      </c>
      <c r="AC67" s="68">
        <v>1733</v>
      </c>
      <c r="AD67" s="68">
        <v>1867</v>
      </c>
      <c r="AE67" s="68">
        <v>1868</v>
      </c>
      <c r="AF67" s="68">
        <v>1881</v>
      </c>
      <c r="AG67" s="68">
        <v>2060</v>
      </c>
      <c r="AH67" s="68">
        <v>2098</v>
      </c>
      <c r="AI67" s="68">
        <v>2299</v>
      </c>
      <c r="AJ67" s="68">
        <v>2352</v>
      </c>
      <c r="AK67" s="68">
        <v>2368</v>
      </c>
      <c r="AL67" s="68">
        <v>2442</v>
      </c>
      <c r="AM67" s="68">
        <v>2456</v>
      </c>
      <c r="AN67" s="68">
        <v>2698</v>
      </c>
      <c r="AO67" s="68">
        <v>2780</v>
      </c>
      <c r="AP67" s="68">
        <v>2930</v>
      </c>
      <c r="AQ67" s="25">
        <f t="shared" si="0"/>
        <v>16736</v>
      </c>
      <c r="AR67" s="25">
        <f t="shared" si="1"/>
        <v>28232</v>
      </c>
      <c r="AS67" s="25">
        <f t="shared" si="2"/>
        <v>44968</v>
      </c>
      <c r="AU67"/>
      <c r="AV67"/>
    </row>
    <row r="68" spans="6:48" ht="14.4" x14ac:dyDescent="0.3">
      <c r="F68" s="76"/>
      <c r="G68" s="77"/>
      <c r="H68" s="77"/>
      <c r="I68" s="77"/>
      <c r="J68" s="77"/>
      <c r="K68" s="77"/>
      <c r="L68" s="78"/>
      <c r="O68" s="112" t="s">
        <v>66</v>
      </c>
      <c r="P68" s="25" t="s">
        <v>64</v>
      </c>
      <c r="Q68" s="25" t="s">
        <v>63</v>
      </c>
      <c r="R68" s="25" t="s">
        <v>58</v>
      </c>
      <c r="S68" s="25">
        <v>674</v>
      </c>
      <c r="T68" s="25">
        <v>688</v>
      </c>
      <c r="U68" s="25">
        <v>733</v>
      </c>
      <c r="V68" s="25">
        <v>806</v>
      </c>
      <c r="W68" s="25">
        <v>842</v>
      </c>
      <c r="X68" s="25">
        <v>887</v>
      </c>
      <c r="Y68" s="25">
        <v>938</v>
      </c>
      <c r="Z68" s="25">
        <v>974</v>
      </c>
      <c r="AA68" s="68">
        <v>1020</v>
      </c>
      <c r="AB68" s="68">
        <v>1114</v>
      </c>
      <c r="AC68" s="68">
        <v>1118</v>
      </c>
      <c r="AD68" s="68">
        <v>1190</v>
      </c>
      <c r="AE68" s="68">
        <v>1284</v>
      </c>
      <c r="AF68" s="68">
        <v>1362</v>
      </c>
      <c r="AG68" s="68">
        <v>1371</v>
      </c>
      <c r="AH68" s="68">
        <v>1484</v>
      </c>
      <c r="AI68" s="68">
        <v>1491</v>
      </c>
      <c r="AJ68" s="68">
        <v>1542</v>
      </c>
      <c r="AK68" s="68">
        <v>1603</v>
      </c>
      <c r="AL68" s="68">
        <v>1655</v>
      </c>
      <c r="AM68" s="68">
        <v>1741</v>
      </c>
      <c r="AN68" s="68">
        <v>1793</v>
      </c>
      <c r="AO68" s="68">
        <v>1804</v>
      </c>
      <c r="AP68" s="68">
        <v>1808</v>
      </c>
      <c r="AQ68" s="25">
        <f t="shared" si="0"/>
        <v>10984</v>
      </c>
      <c r="AR68" s="25">
        <f t="shared" si="1"/>
        <v>18938</v>
      </c>
      <c r="AS68" s="25">
        <f t="shared" si="2"/>
        <v>29922</v>
      </c>
      <c r="AU68"/>
      <c r="AV68"/>
    </row>
    <row r="69" spans="6:48" ht="14.4" x14ac:dyDescent="0.3">
      <c r="F69" s="76"/>
      <c r="G69" s="77"/>
      <c r="H69" s="77"/>
      <c r="I69" s="77"/>
      <c r="J69" s="77"/>
      <c r="K69" s="77"/>
      <c r="L69" s="78"/>
      <c r="O69" s="112" t="s">
        <v>66</v>
      </c>
      <c r="P69" s="25" t="s">
        <v>64</v>
      </c>
      <c r="Q69" s="25" t="s">
        <v>63</v>
      </c>
      <c r="R69" s="25" t="s">
        <v>59</v>
      </c>
      <c r="S69" s="25">
        <v>815</v>
      </c>
      <c r="T69" s="25">
        <v>874</v>
      </c>
      <c r="U69" s="25">
        <v>920</v>
      </c>
      <c r="V69" s="25">
        <v>992</v>
      </c>
      <c r="W69" s="68">
        <v>1026</v>
      </c>
      <c r="X69" s="68">
        <v>1073</v>
      </c>
      <c r="Y69" s="68">
        <v>1092</v>
      </c>
      <c r="Z69" s="68">
        <v>1121</v>
      </c>
      <c r="AA69" s="68">
        <v>1168</v>
      </c>
      <c r="AB69" s="68">
        <v>1214</v>
      </c>
      <c r="AC69" s="68">
        <v>1252</v>
      </c>
      <c r="AD69" s="68">
        <v>1347</v>
      </c>
      <c r="AE69" s="68">
        <v>1409</v>
      </c>
      <c r="AF69" s="68">
        <v>1466</v>
      </c>
      <c r="AG69" s="68">
        <v>1559</v>
      </c>
      <c r="AH69" s="68">
        <v>1610</v>
      </c>
      <c r="AI69" s="68">
        <v>1621</v>
      </c>
      <c r="AJ69" s="68">
        <v>1693</v>
      </c>
      <c r="AK69" s="68">
        <v>1771</v>
      </c>
      <c r="AL69" s="68">
        <v>1798</v>
      </c>
      <c r="AM69" s="68">
        <v>1919</v>
      </c>
      <c r="AN69" s="68">
        <v>2016</v>
      </c>
      <c r="AO69" s="68">
        <v>2024</v>
      </c>
      <c r="AP69" s="68">
        <v>2225</v>
      </c>
      <c r="AQ69" s="25">
        <f t="shared" si="0"/>
        <v>12894</v>
      </c>
      <c r="AR69" s="25">
        <f t="shared" si="1"/>
        <v>21111</v>
      </c>
      <c r="AS69" s="25">
        <f t="shared" si="2"/>
        <v>34005</v>
      </c>
      <c r="AU69"/>
      <c r="AV69"/>
    </row>
    <row r="70" spans="6:48" ht="14.4" x14ac:dyDescent="0.3">
      <c r="F70" s="76"/>
      <c r="G70" s="77"/>
      <c r="H70" s="77"/>
      <c r="I70" s="77"/>
      <c r="J70" s="77"/>
      <c r="K70" s="77"/>
      <c r="L70" s="78"/>
      <c r="O70" s="112" t="s">
        <v>66</v>
      </c>
      <c r="P70" s="25" t="s">
        <v>64</v>
      </c>
      <c r="Q70" s="25" t="s">
        <v>63</v>
      </c>
      <c r="R70" s="25" t="s">
        <v>60</v>
      </c>
      <c r="S70" s="25">
        <v>205</v>
      </c>
      <c r="T70" s="25">
        <v>216</v>
      </c>
      <c r="U70" s="25">
        <v>217</v>
      </c>
      <c r="V70" s="25">
        <v>236</v>
      </c>
      <c r="W70" s="25">
        <v>251</v>
      </c>
      <c r="X70" s="25">
        <v>275</v>
      </c>
      <c r="Y70" s="25">
        <v>278</v>
      </c>
      <c r="Z70" s="25">
        <v>299</v>
      </c>
      <c r="AA70" s="25">
        <v>328</v>
      </c>
      <c r="AB70" s="25">
        <v>349</v>
      </c>
      <c r="AC70" s="25">
        <v>376</v>
      </c>
      <c r="AD70" s="25">
        <v>408</v>
      </c>
      <c r="AE70" s="25">
        <v>444</v>
      </c>
      <c r="AF70" s="25">
        <v>446</v>
      </c>
      <c r="AG70" s="25">
        <v>451</v>
      </c>
      <c r="AH70" s="25">
        <v>478</v>
      </c>
      <c r="AI70" s="25">
        <v>500</v>
      </c>
      <c r="AJ70" s="25">
        <v>505</v>
      </c>
      <c r="AK70" s="25">
        <v>509</v>
      </c>
      <c r="AL70" s="25">
        <v>554</v>
      </c>
      <c r="AM70" s="25">
        <v>571</v>
      </c>
      <c r="AN70" s="25">
        <v>623</v>
      </c>
      <c r="AO70" s="25">
        <v>642</v>
      </c>
      <c r="AP70" s="25">
        <v>676</v>
      </c>
      <c r="AQ70" s="25">
        <f t="shared" si="0"/>
        <v>3438</v>
      </c>
      <c r="AR70" s="25">
        <f t="shared" si="1"/>
        <v>6399</v>
      </c>
      <c r="AS70" s="25">
        <f t="shared" si="2"/>
        <v>9837</v>
      </c>
      <c r="AU70"/>
      <c r="AV70"/>
    </row>
    <row r="71" spans="6:48" ht="14.4" x14ac:dyDescent="0.3">
      <c r="F71" s="76"/>
      <c r="G71" s="77"/>
      <c r="H71" s="77"/>
      <c r="I71" s="77"/>
      <c r="J71" s="77"/>
      <c r="K71" s="77"/>
      <c r="L71" s="78"/>
      <c r="O71" s="112" t="s">
        <v>66</v>
      </c>
      <c r="P71" s="25" t="s">
        <v>64</v>
      </c>
      <c r="Q71" s="25" t="s">
        <v>63</v>
      </c>
      <c r="R71" s="25" t="s">
        <v>61</v>
      </c>
      <c r="S71" s="25">
        <v>248</v>
      </c>
      <c r="T71" s="25">
        <v>265</v>
      </c>
      <c r="U71" s="25">
        <v>282</v>
      </c>
      <c r="V71" s="25">
        <v>305</v>
      </c>
      <c r="W71" s="25">
        <v>328</v>
      </c>
      <c r="X71" s="25">
        <v>342</v>
      </c>
      <c r="Y71" s="25">
        <v>360</v>
      </c>
      <c r="Z71" s="25">
        <v>379</v>
      </c>
      <c r="AA71" s="25">
        <v>380</v>
      </c>
      <c r="AB71" s="25">
        <v>405</v>
      </c>
      <c r="AC71" s="25">
        <v>413</v>
      </c>
      <c r="AD71" s="25">
        <v>447</v>
      </c>
      <c r="AE71" s="25">
        <v>483</v>
      </c>
      <c r="AF71" s="25">
        <v>529</v>
      </c>
      <c r="AG71" s="25">
        <v>537</v>
      </c>
      <c r="AH71" s="25">
        <v>587</v>
      </c>
      <c r="AI71" s="25">
        <v>644</v>
      </c>
      <c r="AJ71" s="25">
        <v>649</v>
      </c>
      <c r="AK71" s="25">
        <v>683</v>
      </c>
      <c r="AL71" s="25">
        <v>740</v>
      </c>
      <c r="AM71" s="25">
        <v>751</v>
      </c>
      <c r="AN71" s="25">
        <v>776</v>
      </c>
      <c r="AO71" s="25">
        <v>850</v>
      </c>
      <c r="AP71" s="25">
        <v>916</v>
      </c>
      <c r="AQ71" s="25">
        <f t="shared" si="0"/>
        <v>4154</v>
      </c>
      <c r="AR71" s="25">
        <f t="shared" si="1"/>
        <v>8145</v>
      </c>
      <c r="AS71" s="25">
        <f t="shared" si="2"/>
        <v>12299</v>
      </c>
      <c r="AU71"/>
      <c r="AV71"/>
    </row>
    <row r="72" spans="6:48" ht="14.4" x14ac:dyDescent="0.3">
      <c r="F72" s="76"/>
      <c r="G72" s="77"/>
      <c r="H72" s="77"/>
      <c r="I72" s="77"/>
      <c r="J72" s="77"/>
      <c r="K72" s="77"/>
      <c r="L72" s="78"/>
      <c r="O72" s="112" t="s">
        <v>66</v>
      </c>
      <c r="P72" s="25" t="s">
        <v>65</v>
      </c>
      <c r="Q72" s="25" t="s">
        <v>57</v>
      </c>
      <c r="R72" s="25" t="s">
        <v>58</v>
      </c>
      <c r="S72" s="25">
        <v>362</v>
      </c>
      <c r="T72" s="25">
        <v>378</v>
      </c>
      <c r="U72" s="25">
        <v>395</v>
      </c>
      <c r="V72" s="25">
        <v>418</v>
      </c>
      <c r="W72" s="25">
        <v>458</v>
      </c>
      <c r="X72" s="25">
        <v>497</v>
      </c>
      <c r="Y72" s="25">
        <v>545</v>
      </c>
      <c r="Z72" s="25">
        <v>577</v>
      </c>
      <c r="AA72" s="25">
        <v>581</v>
      </c>
      <c r="AB72" s="25">
        <v>627</v>
      </c>
      <c r="AC72" s="25">
        <v>628</v>
      </c>
      <c r="AD72" s="25">
        <v>628</v>
      </c>
      <c r="AE72" s="25">
        <v>687</v>
      </c>
      <c r="AF72" s="25">
        <v>742</v>
      </c>
      <c r="AG72" s="25">
        <v>746</v>
      </c>
      <c r="AH72" s="25">
        <v>807</v>
      </c>
      <c r="AI72" s="25">
        <v>832</v>
      </c>
      <c r="AJ72" s="25">
        <v>876</v>
      </c>
      <c r="AK72" s="25">
        <v>888</v>
      </c>
      <c r="AL72" s="25">
        <v>924</v>
      </c>
      <c r="AM72" s="25">
        <v>982</v>
      </c>
      <c r="AN72" s="25">
        <v>990</v>
      </c>
      <c r="AO72" s="68">
        <v>1057</v>
      </c>
      <c r="AP72" s="68">
        <v>1081</v>
      </c>
      <c r="AQ72" s="25">
        <f t="shared" si="0"/>
        <v>6094</v>
      </c>
      <c r="AR72" s="25">
        <f t="shared" si="1"/>
        <v>10612</v>
      </c>
      <c r="AS72" s="25">
        <f t="shared" si="2"/>
        <v>16706</v>
      </c>
      <c r="AU72"/>
      <c r="AV72"/>
    </row>
    <row r="73" spans="6:48" ht="14.4" x14ac:dyDescent="0.3">
      <c r="F73" s="76"/>
      <c r="G73" s="77"/>
      <c r="H73" s="77"/>
      <c r="I73" s="77"/>
      <c r="J73" s="77"/>
      <c r="K73" s="77"/>
      <c r="L73" s="78"/>
      <c r="O73" s="112" t="s">
        <v>66</v>
      </c>
      <c r="P73" s="25" t="s">
        <v>65</v>
      </c>
      <c r="Q73" s="25" t="s">
        <v>57</v>
      </c>
      <c r="R73" s="25" t="s">
        <v>59</v>
      </c>
      <c r="S73" s="25">
        <v>736</v>
      </c>
      <c r="T73" s="25">
        <v>741</v>
      </c>
      <c r="U73" s="25">
        <v>755</v>
      </c>
      <c r="V73" s="25">
        <v>817</v>
      </c>
      <c r="W73" s="25">
        <v>821</v>
      </c>
      <c r="X73" s="25">
        <v>827</v>
      </c>
      <c r="Y73" s="25">
        <v>854</v>
      </c>
      <c r="Z73" s="25">
        <v>903</v>
      </c>
      <c r="AA73" s="25">
        <v>967</v>
      </c>
      <c r="AB73" s="25">
        <v>999</v>
      </c>
      <c r="AC73" s="68">
        <v>1000</v>
      </c>
      <c r="AD73" s="68">
        <v>1084</v>
      </c>
      <c r="AE73" s="68">
        <v>1163</v>
      </c>
      <c r="AF73" s="68">
        <v>1168</v>
      </c>
      <c r="AG73" s="68">
        <v>1265</v>
      </c>
      <c r="AH73" s="68">
        <v>1281</v>
      </c>
      <c r="AI73" s="68">
        <v>1340</v>
      </c>
      <c r="AJ73" s="68">
        <v>1367</v>
      </c>
      <c r="AK73" s="68">
        <v>1402</v>
      </c>
      <c r="AL73" s="68">
        <v>1440</v>
      </c>
      <c r="AM73" s="68">
        <v>1506</v>
      </c>
      <c r="AN73" s="68">
        <v>1528</v>
      </c>
      <c r="AO73" s="68">
        <v>1540</v>
      </c>
      <c r="AP73" s="68">
        <v>1648</v>
      </c>
      <c r="AQ73" s="25">
        <f t="shared" si="0"/>
        <v>10504</v>
      </c>
      <c r="AR73" s="25">
        <f t="shared" si="1"/>
        <v>16648</v>
      </c>
      <c r="AS73" s="25">
        <f t="shared" si="2"/>
        <v>27152</v>
      </c>
      <c r="AU73"/>
      <c r="AV73"/>
    </row>
    <row r="74" spans="6:48" ht="14.4" x14ac:dyDescent="0.3">
      <c r="F74" s="76"/>
      <c r="G74" s="77"/>
      <c r="H74" s="77"/>
      <c r="I74" s="77"/>
      <c r="J74" s="77"/>
      <c r="K74" s="77"/>
      <c r="L74" s="78"/>
      <c r="O74" s="112" t="s">
        <v>66</v>
      </c>
      <c r="P74" s="25" t="s">
        <v>65</v>
      </c>
      <c r="Q74" s="25" t="s">
        <v>57</v>
      </c>
      <c r="R74" s="25" t="s">
        <v>60</v>
      </c>
      <c r="S74" s="25">
        <v>245</v>
      </c>
      <c r="T74" s="25">
        <v>259</v>
      </c>
      <c r="U74" s="25">
        <v>283</v>
      </c>
      <c r="V74" s="25">
        <v>311</v>
      </c>
      <c r="W74" s="25">
        <v>315</v>
      </c>
      <c r="X74" s="25">
        <v>344</v>
      </c>
      <c r="Y74" s="25">
        <v>364</v>
      </c>
      <c r="Z74" s="25">
        <v>368</v>
      </c>
      <c r="AA74" s="25">
        <v>394</v>
      </c>
      <c r="AB74" s="25">
        <v>428</v>
      </c>
      <c r="AC74" s="25">
        <v>456</v>
      </c>
      <c r="AD74" s="25">
        <v>492</v>
      </c>
      <c r="AE74" s="25">
        <v>528</v>
      </c>
      <c r="AF74" s="25">
        <v>557</v>
      </c>
      <c r="AG74" s="25">
        <v>578</v>
      </c>
      <c r="AH74" s="25">
        <v>627</v>
      </c>
      <c r="AI74" s="25">
        <v>681</v>
      </c>
      <c r="AJ74" s="25">
        <v>709</v>
      </c>
      <c r="AK74" s="25">
        <v>758</v>
      </c>
      <c r="AL74" s="25">
        <v>808</v>
      </c>
      <c r="AM74" s="25">
        <v>867</v>
      </c>
      <c r="AN74" s="25">
        <v>910</v>
      </c>
      <c r="AO74" s="25">
        <v>991</v>
      </c>
      <c r="AP74" s="68">
        <v>1017</v>
      </c>
      <c r="AQ74" s="25">
        <f t="shared" si="0"/>
        <v>4259</v>
      </c>
      <c r="AR74" s="25">
        <f t="shared" si="1"/>
        <v>9031</v>
      </c>
      <c r="AS74" s="25">
        <f t="shared" si="2"/>
        <v>13290</v>
      </c>
      <c r="AU74"/>
      <c r="AV74"/>
    </row>
    <row r="75" spans="6:48" ht="14.4" x14ac:dyDescent="0.3">
      <c r="F75" s="76"/>
      <c r="G75" s="77"/>
      <c r="H75" s="77"/>
      <c r="I75" s="77"/>
      <c r="J75" s="77"/>
      <c r="K75" s="77"/>
      <c r="L75" s="78"/>
      <c r="O75" s="112" t="s">
        <v>66</v>
      </c>
      <c r="P75" s="25" t="s">
        <v>65</v>
      </c>
      <c r="Q75" s="25" t="s">
        <v>57</v>
      </c>
      <c r="R75" s="25" t="s">
        <v>61</v>
      </c>
      <c r="S75" s="25">
        <v>223</v>
      </c>
      <c r="T75" s="25">
        <v>233</v>
      </c>
      <c r="U75" s="25">
        <v>249</v>
      </c>
      <c r="V75" s="25">
        <v>254</v>
      </c>
      <c r="W75" s="25">
        <v>261</v>
      </c>
      <c r="X75" s="25">
        <v>274</v>
      </c>
      <c r="Y75" s="25">
        <v>298</v>
      </c>
      <c r="Z75" s="25">
        <v>304</v>
      </c>
      <c r="AA75" s="25">
        <v>311</v>
      </c>
      <c r="AB75" s="25">
        <v>338</v>
      </c>
      <c r="AC75" s="25">
        <v>345</v>
      </c>
      <c r="AD75" s="25">
        <v>376</v>
      </c>
      <c r="AE75" s="25">
        <v>383</v>
      </c>
      <c r="AF75" s="25">
        <v>389</v>
      </c>
      <c r="AG75" s="25">
        <v>419</v>
      </c>
      <c r="AH75" s="25">
        <v>419</v>
      </c>
      <c r="AI75" s="25">
        <v>425</v>
      </c>
      <c r="AJ75" s="25">
        <v>458</v>
      </c>
      <c r="AK75" s="25">
        <v>486</v>
      </c>
      <c r="AL75" s="25">
        <v>527</v>
      </c>
      <c r="AM75" s="25">
        <v>559</v>
      </c>
      <c r="AN75" s="25">
        <v>606</v>
      </c>
      <c r="AO75" s="25">
        <v>665</v>
      </c>
      <c r="AP75" s="25">
        <v>676</v>
      </c>
      <c r="AQ75" s="25">
        <f t="shared" si="0"/>
        <v>3466</v>
      </c>
      <c r="AR75" s="25">
        <f t="shared" si="1"/>
        <v>6012</v>
      </c>
      <c r="AS75" s="25">
        <f t="shared" si="2"/>
        <v>9478</v>
      </c>
      <c r="AU75"/>
      <c r="AV75"/>
    </row>
    <row r="76" spans="6:48" ht="14.4" x14ac:dyDescent="0.3">
      <c r="F76" s="76"/>
      <c r="G76" s="77"/>
      <c r="H76" s="77"/>
      <c r="I76" s="77"/>
      <c r="J76" s="77"/>
      <c r="K76" s="77"/>
      <c r="L76" s="78"/>
      <c r="O76" s="112" t="s">
        <v>66</v>
      </c>
      <c r="P76" s="25" t="s">
        <v>65</v>
      </c>
      <c r="Q76" s="25" t="s">
        <v>62</v>
      </c>
      <c r="R76" s="25" t="s">
        <v>58</v>
      </c>
      <c r="S76" s="25">
        <v>273</v>
      </c>
      <c r="T76" s="25">
        <v>295</v>
      </c>
      <c r="U76" s="25">
        <v>316</v>
      </c>
      <c r="V76" s="25">
        <v>320</v>
      </c>
      <c r="W76" s="25">
        <v>327</v>
      </c>
      <c r="X76" s="25">
        <v>331</v>
      </c>
      <c r="Y76" s="25">
        <v>344</v>
      </c>
      <c r="Z76" s="25">
        <v>359</v>
      </c>
      <c r="AA76" s="25">
        <v>372</v>
      </c>
      <c r="AB76" s="25">
        <v>385</v>
      </c>
      <c r="AC76" s="25">
        <v>423</v>
      </c>
      <c r="AD76" s="25">
        <v>454</v>
      </c>
      <c r="AE76" s="25">
        <v>493</v>
      </c>
      <c r="AF76" s="25">
        <v>508</v>
      </c>
      <c r="AG76" s="25">
        <v>516</v>
      </c>
      <c r="AH76" s="25">
        <v>537</v>
      </c>
      <c r="AI76" s="25">
        <v>563</v>
      </c>
      <c r="AJ76" s="25">
        <v>613</v>
      </c>
      <c r="AK76" s="25">
        <v>614</v>
      </c>
      <c r="AL76" s="25">
        <v>634</v>
      </c>
      <c r="AM76" s="25">
        <v>643</v>
      </c>
      <c r="AN76" s="25">
        <v>661</v>
      </c>
      <c r="AO76" s="25">
        <v>681</v>
      </c>
      <c r="AP76" s="25">
        <v>733</v>
      </c>
      <c r="AQ76" s="25">
        <f t="shared" si="0"/>
        <v>4199</v>
      </c>
      <c r="AR76" s="25">
        <f t="shared" si="1"/>
        <v>7196</v>
      </c>
      <c r="AS76" s="25">
        <f t="shared" si="2"/>
        <v>11395</v>
      </c>
      <c r="AU76"/>
      <c r="AV76"/>
    </row>
    <row r="77" spans="6:48" ht="14.4" x14ac:dyDescent="0.3">
      <c r="F77" s="76"/>
      <c r="G77" s="77"/>
      <c r="H77" s="77"/>
      <c r="I77" s="77"/>
      <c r="J77" s="77"/>
      <c r="K77" s="77"/>
      <c r="L77" s="78"/>
      <c r="O77" s="112" t="s">
        <v>66</v>
      </c>
      <c r="P77" s="25" t="s">
        <v>65</v>
      </c>
      <c r="Q77" s="25" t="s">
        <v>62</v>
      </c>
      <c r="R77" s="25" t="s">
        <v>59</v>
      </c>
      <c r="S77" s="25">
        <v>961</v>
      </c>
      <c r="T77" s="68">
        <v>1014</v>
      </c>
      <c r="U77" s="68">
        <v>1074</v>
      </c>
      <c r="V77" s="68">
        <v>1174</v>
      </c>
      <c r="W77" s="68">
        <v>1224</v>
      </c>
      <c r="X77" s="68">
        <v>1317</v>
      </c>
      <c r="Y77" s="68">
        <v>1444</v>
      </c>
      <c r="Z77" s="68">
        <v>1541</v>
      </c>
      <c r="AA77" s="68">
        <v>1666</v>
      </c>
      <c r="AB77" s="68">
        <v>1756</v>
      </c>
      <c r="AC77" s="68">
        <v>1895</v>
      </c>
      <c r="AD77" s="68">
        <v>2053</v>
      </c>
      <c r="AE77" s="68">
        <v>2134</v>
      </c>
      <c r="AF77" s="68">
        <v>2330</v>
      </c>
      <c r="AG77" s="68">
        <v>2363</v>
      </c>
      <c r="AH77" s="68">
        <v>2532</v>
      </c>
      <c r="AI77" s="68">
        <v>2710</v>
      </c>
      <c r="AJ77" s="68">
        <v>2911</v>
      </c>
      <c r="AK77" s="68">
        <v>2936</v>
      </c>
      <c r="AL77" s="68">
        <v>3173</v>
      </c>
      <c r="AM77" s="68">
        <v>3193</v>
      </c>
      <c r="AN77" s="68">
        <v>3331</v>
      </c>
      <c r="AO77" s="68">
        <v>3611</v>
      </c>
      <c r="AP77" s="68">
        <v>3809</v>
      </c>
      <c r="AQ77" s="25">
        <f t="shared" ref="AQ77:AQ140" si="11">SUM(S77:AD77)</f>
        <v>17119</v>
      </c>
      <c r="AR77" s="25">
        <f t="shared" ref="AR77:AR140" si="12">SUM(AE77:AP77)</f>
        <v>35033</v>
      </c>
      <c r="AS77" s="25">
        <f t="shared" ref="AS77:AS140" si="13">AQ77+AR77</f>
        <v>52152</v>
      </c>
      <c r="AU77"/>
      <c r="AV77"/>
    </row>
    <row r="78" spans="6:48" ht="14.4" x14ac:dyDescent="0.3">
      <c r="F78" s="79"/>
      <c r="G78" s="80"/>
      <c r="H78" s="80"/>
      <c r="I78" s="80"/>
      <c r="J78" s="80"/>
      <c r="K78" s="80"/>
      <c r="L78" s="81"/>
      <c r="O78" s="112" t="s">
        <v>66</v>
      </c>
      <c r="P78" s="25" t="s">
        <v>65</v>
      </c>
      <c r="Q78" s="25" t="s">
        <v>62</v>
      </c>
      <c r="R78" s="25" t="s">
        <v>60</v>
      </c>
      <c r="S78" s="25">
        <v>482</v>
      </c>
      <c r="T78" s="25">
        <v>499</v>
      </c>
      <c r="U78" s="25">
        <v>543</v>
      </c>
      <c r="V78" s="25">
        <v>586</v>
      </c>
      <c r="W78" s="25">
        <v>586</v>
      </c>
      <c r="X78" s="25">
        <v>604</v>
      </c>
      <c r="Y78" s="25">
        <v>634</v>
      </c>
      <c r="Z78" s="25">
        <v>672</v>
      </c>
      <c r="AA78" s="25">
        <v>715</v>
      </c>
      <c r="AB78" s="25">
        <v>745</v>
      </c>
      <c r="AC78" s="25">
        <v>749</v>
      </c>
      <c r="AD78" s="25">
        <v>789</v>
      </c>
      <c r="AE78" s="25">
        <v>856</v>
      </c>
      <c r="AF78" s="25">
        <v>875</v>
      </c>
      <c r="AG78" s="25">
        <v>880</v>
      </c>
      <c r="AH78" s="25">
        <v>938</v>
      </c>
      <c r="AI78" s="25">
        <v>943</v>
      </c>
      <c r="AJ78" s="68">
        <v>1022</v>
      </c>
      <c r="AK78" s="68">
        <v>1022</v>
      </c>
      <c r="AL78" s="68">
        <v>1083</v>
      </c>
      <c r="AM78" s="68">
        <v>1098</v>
      </c>
      <c r="AN78" s="68">
        <v>1130</v>
      </c>
      <c r="AO78" s="68">
        <v>1207</v>
      </c>
      <c r="AP78" s="68">
        <v>1315</v>
      </c>
      <c r="AQ78" s="25">
        <f t="shared" si="11"/>
        <v>7604</v>
      </c>
      <c r="AR78" s="25">
        <f t="shared" si="12"/>
        <v>12369</v>
      </c>
      <c r="AS78" s="25">
        <f t="shared" si="13"/>
        <v>19973</v>
      </c>
      <c r="AU78"/>
      <c r="AV78"/>
    </row>
    <row r="79" spans="6:48" ht="14.4" x14ac:dyDescent="0.3">
      <c r="O79" s="112" t="s">
        <v>66</v>
      </c>
      <c r="P79" s="25" t="s">
        <v>65</v>
      </c>
      <c r="Q79" s="25" t="s">
        <v>62</v>
      </c>
      <c r="R79" s="25" t="s">
        <v>61</v>
      </c>
      <c r="S79" s="25">
        <v>19</v>
      </c>
      <c r="T79" s="25">
        <v>20</v>
      </c>
      <c r="U79" s="25">
        <v>21</v>
      </c>
      <c r="V79" s="25">
        <v>22</v>
      </c>
      <c r="W79" s="25">
        <v>23</v>
      </c>
      <c r="X79" s="25">
        <v>24</v>
      </c>
      <c r="Y79" s="25">
        <v>24</v>
      </c>
      <c r="Z79" s="25">
        <v>27</v>
      </c>
      <c r="AA79" s="25">
        <v>27</v>
      </c>
      <c r="AB79" s="25">
        <v>29</v>
      </c>
      <c r="AC79" s="25">
        <v>31</v>
      </c>
      <c r="AD79" s="25">
        <v>33</v>
      </c>
      <c r="AE79" s="25">
        <v>33</v>
      </c>
      <c r="AF79" s="25">
        <v>35</v>
      </c>
      <c r="AG79" s="25">
        <v>39</v>
      </c>
      <c r="AH79" s="25">
        <v>40</v>
      </c>
      <c r="AI79" s="25">
        <v>44</v>
      </c>
      <c r="AJ79" s="25">
        <v>47</v>
      </c>
      <c r="AK79" s="25">
        <v>51</v>
      </c>
      <c r="AL79" s="25">
        <v>54</v>
      </c>
      <c r="AM79" s="25">
        <v>54</v>
      </c>
      <c r="AN79" s="25">
        <v>57</v>
      </c>
      <c r="AO79" s="25">
        <v>61</v>
      </c>
      <c r="AP79" s="25">
        <v>61</v>
      </c>
      <c r="AQ79" s="25">
        <f t="shared" si="11"/>
        <v>300</v>
      </c>
      <c r="AR79" s="25">
        <f t="shared" si="12"/>
        <v>576</v>
      </c>
      <c r="AS79" s="25">
        <f t="shared" si="13"/>
        <v>876</v>
      </c>
      <c r="AU79"/>
      <c r="AV79"/>
    </row>
    <row r="80" spans="6:48" ht="14.4" x14ac:dyDescent="0.3">
      <c r="O80" s="112" t="s">
        <v>66</v>
      </c>
      <c r="P80" s="25" t="s">
        <v>65</v>
      </c>
      <c r="Q80" s="25" t="s">
        <v>63</v>
      </c>
      <c r="R80" s="25" t="s">
        <v>58</v>
      </c>
      <c r="S80" s="25">
        <v>11</v>
      </c>
      <c r="T80" s="25">
        <v>12</v>
      </c>
      <c r="U80" s="25">
        <v>12</v>
      </c>
      <c r="V80" s="25">
        <v>12</v>
      </c>
      <c r="W80" s="25">
        <v>13</v>
      </c>
      <c r="X80" s="25">
        <v>13</v>
      </c>
      <c r="Y80" s="25">
        <v>14</v>
      </c>
      <c r="Z80" s="25">
        <v>15</v>
      </c>
      <c r="AA80" s="25">
        <v>15</v>
      </c>
      <c r="AB80" s="25">
        <v>15</v>
      </c>
      <c r="AC80" s="25">
        <v>15</v>
      </c>
      <c r="AD80" s="25">
        <v>16</v>
      </c>
      <c r="AE80" s="25">
        <v>17</v>
      </c>
      <c r="AF80" s="25">
        <v>19</v>
      </c>
      <c r="AG80" s="25">
        <v>20</v>
      </c>
      <c r="AH80" s="25">
        <v>21</v>
      </c>
      <c r="AI80" s="25">
        <v>22</v>
      </c>
      <c r="AJ80" s="25">
        <v>23</v>
      </c>
      <c r="AK80" s="25">
        <v>25</v>
      </c>
      <c r="AL80" s="25">
        <v>25</v>
      </c>
      <c r="AM80" s="25">
        <v>27</v>
      </c>
      <c r="AN80" s="25">
        <v>27</v>
      </c>
      <c r="AO80" s="25">
        <v>27</v>
      </c>
      <c r="AP80" s="25">
        <v>28</v>
      </c>
      <c r="AQ80" s="25">
        <f t="shared" si="11"/>
        <v>163</v>
      </c>
      <c r="AR80" s="25">
        <f t="shared" si="12"/>
        <v>281</v>
      </c>
      <c r="AS80" s="25">
        <f t="shared" si="13"/>
        <v>444</v>
      </c>
      <c r="AU80"/>
      <c r="AV80"/>
    </row>
    <row r="81" spans="6:48" ht="14.4" x14ac:dyDescent="0.3">
      <c r="O81" s="112" t="s">
        <v>66</v>
      </c>
      <c r="P81" s="25" t="s">
        <v>65</v>
      </c>
      <c r="Q81" s="25" t="s">
        <v>63</v>
      </c>
      <c r="R81" s="25" t="s">
        <v>59</v>
      </c>
      <c r="S81" s="25">
        <v>683</v>
      </c>
      <c r="T81" s="25">
        <v>710</v>
      </c>
      <c r="U81" s="25">
        <v>717</v>
      </c>
      <c r="V81" s="25">
        <v>759</v>
      </c>
      <c r="W81" s="25">
        <v>832</v>
      </c>
      <c r="X81" s="25">
        <v>841</v>
      </c>
      <c r="Y81" s="25">
        <v>864</v>
      </c>
      <c r="Z81" s="25">
        <v>887</v>
      </c>
      <c r="AA81" s="25">
        <v>922</v>
      </c>
      <c r="AB81" s="25">
        <v>995</v>
      </c>
      <c r="AC81" s="68">
        <v>1070</v>
      </c>
      <c r="AD81" s="68">
        <v>1147</v>
      </c>
      <c r="AE81" s="68">
        <v>1181</v>
      </c>
      <c r="AF81" s="68">
        <v>1266</v>
      </c>
      <c r="AG81" s="68">
        <v>1328</v>
      </c>
      <c r="AH81" s="68">
        <v>1436</v>
      </c>
      <c r="AI81" s="68">
        <v>1540</v>
      </c>
      <c r="AJ81" s="68">
        <v>1543</v>
      </c>
      <c r="AK81" s="68">
        <v>1573</v>
      </c>
      <c r="AL81" s="68">
        <v>1701</v>
      </c>
      <c r="AM81" s="68">
        <v>1797</v>
      </c>
      <c r="AN81" s="68">
        <v>1904</v>
      </c>
      <c r="AO81" s="68">
        <v>2086</v>
      </c>
      <c r="AP81" s="68">
        <v>2164</v>
      </c>
      <c r="AQ81" s="25">
        <f t="shared" si="11"/>
        <v>10427</v>
      </c>
      <c r="AR81" s="25">
        <f t="shared" si="12"/>
        <v>19519</v>
      </c>
      <c r="AS81" s="25">
        <f t="shared" si="13"/>
        <v>29946</v>
      </c>
      <c r="AU81"/>
      <c r="AV81"/>
    </row>
    <row r="82" spans="6:48" ht="14.4" x14ac:dyDescent="0.3">
      <c r="O82" s="112" t="s">
        <v>66</v>
      </c>
      <c r="P82" s="25" t="s">
        <v>65</v>
      </c>
      <c r="Q82" s="25" t="s">
        <v>63</v>
      </c>
      <c r="R82" s="25" t="s">
        <v>60</v>
      </c>
      <c r="S82" s="25">
        <v>527</v>
      </c>
      <c r="T82" s="25">
        <v>578</v>
      </c>
      <c r="U82" s="25">
        <v>633</v>
      </c>
      <c r="V82" s="25">
        <v>669</v>
      </c>
      <c r="W82" s="25">
        <v>705</v>
      </c>
      <c r="X82" s="25">
        <v>727</v>
      </c>
      <c r="Y82" s="25">
        <v>765</v>
      </c>
      <c r="Z82" s="25">
        <v>778</v>
      </c>
      <c r="AA82" s="25">
        <v>854</v>
      </c>
      <c r="AB82" s="25">
        <v>877</v>
      </c>
      <c r="AC82" s="25">
        <v>913</v>
      </c>
      <c r="AD82" s="25">
        <v>948</v>
      </c>
      <c r="AE82" s="25">
        <v>957</v>
      </c>
      <c r="AF82" s="68">
        <v>1003</v>
      </c>
      <c r="AG82" s="68">
        <v>1048</v>
      </c>
      <c r="AH82" s="68">
        <v>1121</v>
      </c>
      <c r="AI82" s="68">
        <v>1123</v>
      </c>
      <c r="AJ82" s="68">
        <v>1124</v>
      </c>
      <c r="AK82" s="68">
        <v>1224</v>
      </c>
      <c r="AL82" s="68">
        <v>1273</v>
      </c>
      <c r="AM82" s="68">
        <v>1353</v>
      </c>
      <c r="AN82" s="68">
        <v>1400</v>
      </c>
      <c r="AO82" s="68">
        <v>1441</v>
      </c>
      <c r="AP82" s="68">
        <v>1474</v>
      </c>
      <c r="AQ82" s="25">
        <f t="shared" si="11"/>
        <v>8974</v>
      </c>
      <c r="AR82" s="25">
        <f t="shared" si="12"/>
        <v>14541</v>
      </c>
      <c r="AS82" s="25">
        <f t="shared" si="13"/>
        <v>23515</v>
      </c>
      <c r="AU82"/>
      <c r="AV82"/>
    </row>
    <row r="83" spans="6:48" ht="14.4" x14ac:dyDescent="0.3">
      <c r="F83" s="73"/>
      <c r="G83" s="74"/>
      <c r="H83" s="74"/>
      <c r="I83" s="74"/>
      <c r="J83" s="74"/>
      <c r="K83" s="74"/>
      <c r="L83" s="75"/>
      <c r="O83" s="112" t="s">
        <v>66</v>
      </c>
      <c r="P83" s="25" t="s">
        <v>65</v>
      </c>
      <c r="Q83" s="25" t="s">
        <v>63</v>
      </c>
      <c r="R83" s="25" t="s">
        <v>61</v>
      </c>
      <c r="S83" s="25">
        <v>881</v>
      </c>
      <c r="T83" s="25">
        <v>937</v>
      </c>
      <c r="U83" s="25">
        <v>998</v>
      </c>
      <c r="V83" s="68">
        <v>1030</v>
      </c>
      <c r="W83" s="68">
        <v>1093</v>
      </c>
      <c r="X83" s="68">
        <v>1130</v>
      </c>
      <c r="Y83" s="68">
        <v>1219</v>
      </c>
      <c r="Z83" s="68">
        <v>1238</v>
      </c>
      <c r="AA83" s="68">
        <v>1322</v>
      </c>
      <c r="AB83" s="68">
        <v>1420</v>
      </c>
      <c r="AC83" s="68">
        <v>1551</v>
      </c>
      <c r="AD83" s="68">
        <v>1579</v>
      </c>
      <c r="AE83" s="68">
        <v>1610</v>
      </c>
      <c r="AF83" s="68">
        <v>1704</v>
      </c>
      <c r="AG83" s="68">
        <v>1795</v>
      </c>
      <c r="AH83" s="68">
        <v>1844</v>
      </c>
      <c r="AI83" s="68">
        <v>1856</v>
      </c>
      <c r="AJ83" s="68">
        <v>1897</v>
      </c>
      <c r="AK83" s="68">
        <v>1926</v>
      </c>
      <c r="AL83" s="68">
        <v>2088</v>
      </c>
      <c r="AM83" s="68">
        <v>2238</v>
      </c>
      <c r="AN83" s="68">
        <v>2263</v>
      </c>
      <c r="AO83" s="68">
        <v>2382</v>
      </c>
      <c r="AP83" s="68">
        <v>2608</v>
      </c>
      <c r="AQ83" s="25">
        <f t="shared" si="11"/>
        <v>14398</v>
      </c>
      <c r="AR83" s="25">
        <f t="shared" si="12"/>
        <v>24211</v>
      </c>
      <c r="AS83" s="25">
        <f t="shared" si="13"/>
        <v>38609</v>
      </c>
      <c r="AU83"/>
      <c r="AV83"/>
    </row>
    <row r="84" spans="6:48" ht="14.4" x14ac:dyDescent="0.3">
      <c r="F84" s="76"/>
      <c r="G84" s="77"/>
      <c r="H84" s="77"/>
      <c r="I84" s="77"/>
      <c r="J84" s="77"/>
      <c r="K84" s="77"/>
      <c r="L84" s="78"/>
      <c r="O84" s="112" t="s">
        <v>67</v>
      </c>
      <c r="P84" s="25" t="s">
        <v>56</v>
      </c>
      <c r="Q84" s="25" t="s">
        <v>57</v>
      </c>
      <c r="R84" s="25" t="s">
        <v>58</v>
      </c>
      <c r="S84" s="25">
        <v>853</v>
      </c>
      <c r="T84" s="25">
        <v>924</v>
      </c>
      <c r="U84" s="25">
        <v>934</v>
      </c>
      <c r="V84" s="25">
        <v>998</v>
      </c>
      <c r="W84" s="68">
        <v>1068</v>
      </c>
      <c r="X84" s="68">
        <v>1097</v>
      </c>
      <c r="Y84" s="68">
        <v>1112</v>
      </c>
      <c r="Z84" s="68">
        <v>1210</v>
      </c>
      <c r="AA84" s="68">
        <v>1314</v>
      </c>
      <c r="AB84" s="68">
        <v>1324</v>
      </c>
      <c r="AC84" s="68">
        <v>1391</v>
      </c>
      <c r="AD84" s="68">
        <v>1462</v>
      </c>
      <c r="AE84" s="68">
        <v>1476</v>
      </c>
      <c r="AF84" s="68">
        <v>1603</v>
      </c>
      <c r="AG84" s="68">
        <v>1608</v>
      </c>
      <c r="AH84" s="68">
        <v>1723</v>
      </c>
      <c r="AI84" s="68">
        <v>1798</v>
      </c>
      <c r="AJ84" s="68">
        <v>1894</v>
      </c>
      <c r="AK84" s="68">
        <v>2027</v>
      </c>
      <c r="AL84" s="68">
        <v>2037</v>
      </c>
      <c r="AM84" s="68">
        <v>2091</v>
      </c>
      <c r="AN84" s="68">
        <v>2233</v>
      </c>
      <c r="AO84" s="68">
        <v>2320</v>
      </c>
      <c r="AP84" s="68">
        <v>2508</v>
      </c>
      <c r="AQ84" s="25">
        <f t="shared" si="11"/>
        <v>13687</v>
      </c>
      <c r="AR84" s="25">
        <f t="shared" si="12"/>
        <v>23318</v>
      </c>
      <c r="AS84" s="25">
        <f t="shared" si="13"/>
        <v>37005</v>
      </c>
      <c r="AU84"/>
      <c r="AV84"/>
    </row>
    <row r="85" spans="6:48" ht="14.4" x14ac:dyDescent="0.3">
      <c r="F85" s="76"/>
      <c r="G85" s="77"/>
      <c r="H85" s="77"/>
      <c r="I85" s="77"/>
      <c r="J85" s="77"/>
      <c r="K85" s="77"/>
      <c r="L85" s="78"/>
      <c r="O85" s="112" t="s">
        <v>67</v>
      </c>
      <c r="P85" s="25" t="s">
        <v>56</v>
      </c>
      <c r="Q85" s="25" t="s">
        <v>57</v>
      </c>
      <c r="R85" s="25" t="s">
        <v>59</v>
      </c>
      <c r="S85" s="25">
        <v>803</v>
      </c>
      <c r="T85" s="25">
        <v>854</v>
      </c>
      <c r="U85" s="25">
        <v>862</v>
      </c>
      <c r="V85" s="25">
        <v>866</v>
      </c>
      <c r="W85" s="25">
        <v>931</v>
      </c>
      <c r="X85" s="25">
        <v>943</v>
      </c>
      <c r="Y85" s="25">
        <v>971</v>
      </c>
      <c r="Z85" s="68">
        <v>1025</v>
      </c>
      <c r="AA85" s="68">
        <v>1036</v>
      </c>
      <c r="AB85" s="68">
        <v>1093</v>
      </c>
      <c r="AC85" s="68">
        <v>1174</v>
      </c>
      <c r="AD85" s="68">
        <v>1212</v>
      </c>
      <c r="AE85" s="68">
        <v>1236</v>
      </c>
      <c r="AF85" s="68">
        <v>1325</v>
      </c>
      <c r="AG85" s="68">
        <v>1424</v>
      </c>
      <c r="AH85" s="68">
        <v>1510</v>
      </c>
      <c r="AI85" s="68">
        <v>1534</v>
      </c>
      <c r="AJ85" s="68">
        <v>1631</v>
      </c>
      <c r="AK85" s="68">
        <v>1791</v>
      </c>
      <c r="AL85" s="68">
        <v>1902</v>
      </c>
      <c r="AM85" s="68">
        <v>1926</v>
      </c>
      <c r="AN85" s="68">
        <v>1930</v>
      </c>
      <c r="AO85" s="68">
        <v>2027</v>
      </c>
      <c r="AP85" s="68">
        <v>2227</v>
      </c>
      <c r="AQ85" s="25">
        <f t="shared" si="11"/>
        <v>11770</v>
      </c>
      <c r="AR85" s="25">
        <f t="shared" si="12"/>
        <v>20463</v>
      </c>
      <c r="AS85" s="25">
        <f t="shared" si="13"/>
        <v>32233</v>
      </c>
      <c r="AU85"/>
      <c r="AV85"/>
    </row>
    <row r="86" spans="6:48" ht="14.4" x14ac:dyDescent="0.3">
      <c r="F86" s="76"/>
      <c r="G86" s="77"/>
      <c r="H86" s="77"/>
      <c r="I86" s="77"/>
      <c r="J86" s="77"/>
      <c r="K86" s="77"/>
      <c r="L86" s="78"/>
      <c r="O86" s="112" t="s">
        <v>67</v>
      </c>
      <c r="P86" s="25" t="s">
        <v>56</v>
      </c>
      <c r="Q86" s="25" t="s">
        <v>57</v>
      </c>
      <c r="R86" s="25" t="s">
        <v>60</v>
      </c>
      <c r="S86" s="25">
        <v>535</v>
      </c>
      <c r="T86" s="25">
        <v>579</v>
      </c>
      <c r="U86" s="25">
        <v>583</v>
      </c>
      <c r="V86" s="25">
        <v>593</v>
      </c>
      <c r="W86" s="25">
        <v>616</v>
      </c>
      <c r="X86" s="25">
        <v>620</v>
      </c>
      <c r="Y86" s="25">
        <v>639</v>
      </c>
      <c r="Z86" s="25">
        <v>698</v>
      </c>
      <c r="AA86" s="25">
        <v>731</v>
      </c>
      <c r="AB86" s="25">
        <v>799</v>
      </c>
      <c r="AC86" s="25">
        <v>811</v>
      </c>
      <c r="AD86" s="25">
        <v>838</v>
      </c>
      <c r="AE86" s="25">
        <v>880</v>
      </c>
      <c r="AF86" s="25">
        <v>958</v>
      </c>
      <c r="AG86" s="25">
        <v>994</v>
      </c>
      <c r="AH86" s="68">
        <v>1043</v>
      </c>
      <c r="AI86" s="68">
        <v>1108</v>
      </c>
      <c r="AJ86" s="68">
        <v>1190</v>
      </c>
      <c r="AK86" s="68">
        <v>1207</v>
      </c>
      <c r="AL86" s="68">
        <v>1307</v>
      </c>
      <c r="AM86" s="68">
        <v>1356</v>
      </c>
      <c r="AN86" s="68">
        <v>1490</v>
      </c>
      <c r="AO86" s="68">
        <v>1511</v>
      </c>
      <c r="AP86" s="68">
        <v>1579</v>
      </c>
      <c r="AQ86" s="25">
        <f t="shared" si="11"/>
        <v>8042</v>
      </c>
      <c r="AR86" s="25">
        <f t="shared" si="12"/>
        <v>14623</v>
      </c>
      <c r="AS86" s="25">
        <f t="shared" si="13"/>
        <v>22665</v>
      </c>
      <c r="AU86"/>
      <c r="AV86"/>
    </row>
    <row r="87" spans="6:48" ht="14.4" x14ac:dyDescent="0.3">
      <c r="F87" s="76"/>
      <c r="G87" s="77"/>
      <c r="H87" s="77"/>
      <c r="I87" s="77"/>
      <c r="J87" s="77"/>
      <c r="K87" s="77"/>
      <c r="L87" s="78"/>
      <c r="O87" s="112" t="s">
        <v>67</v>
      </c>
      <c r="P87" s="25" t="s">
        <v>56</v>
      </c>
      <c r="Q87" s="25" t="s">
        <v>57</v>
      </c>
      <c r="R87" s="25" t="s">
        <v>61</v>
      </c>
      <c r="S87" s="25">
        <v>206</v>
      </c>
      <c r="T87" s="25">
        <v>218</v>
      </c>
      <c r="U87" s="25">
        <v>235</v>
      </c>
      <c r="V87" s="25">
        <v>241</v>
      </c>
      <c r="W87" s="25">
        <v>241</v>
      </c>
      <c r="X87" s="25">
        <v>250</v>
      </c>
      <c r="Y87" s="25">
        <v>268</v>
      </c>
      <c r="Z87" s="25">
        <v>288</v>
      </c>
      <c r="AA87" s="25">
        <v>311</v>
      </c>
      <c r="AB87" s="25">
        <v>323</v>
      </c>
      <c r="AC87" s="25">
        <v>347</v>
      </c>
      <c r="AD87" s="25">
        <v>374</v>
      </c>
      <c r="AE87" s="25">
        <v>382</v>
      </c>
      <c r="AF87" s="25">
        <v>405</v>
      </c>
      <c r="AG87" s="25">
        <v>413</v>
      </c>
      <c r="AH87" s="25">
        <v>437</v>
      </c>
      <c r="AI87" s="25">
        <v>450</v>
      </c>
      <c r="AJ87" s="25">
        <v>480</v>
      </c>
      <c r="AK87" s="25">
        <v>504</v>
      </c>
      <c r="AL87" s="25">
        <v>541</v>
      </c>
      <c r="AM87" s="25">
        <v>558</v>
      </c>
      <c r="AN87" s="25">
        <v>579</v>
      </c>
      <c r="AO87" s="25">
        <v>589</v>
      </c>
      <c r="AP87" s="25">
        <v>646</v>
      </c>
      <c r="AQ87" s="25">
        <f t="shared" si="11"/>
        <v>3302</v>
      </c>
      <c r="AR87" s="25">
        <f t="shared" si="12"/>
        <v>5984</v>
      </c>
      <c r="AS87" s="25">
        <f t="shared" si="13"/>
        <v>9286</v>
      </c>
      <c r="AU87"/>
      <c r="AV87"/>
    </row>
    <row r="88" spans="6:48" ht="14.4" x14ac:dyDescent="0.3">
      <c r="F88" s="76"/>
      <c r="G88" s="77"/>
      <c r="H88" s="77"/>
      <c r="I88" s="77"/>
      <c r="J88" s="77"/>
      <c r="K88" s="77"/>
      <c r="L88" s="78"/>
      <c r="O88" s="112" t="s">
        <v>67</v>
      </c>
      <c r="P88" s="25" t="s">
        <v>56</v>
      </c>
      <c r="Q88" s="25" t="s">
        <v>62</v>
      </c>
      <c r="R88" s="25" t="s">
        <v>58</v>
      </c>
      <c r="S88" s="25">
        <v>475</v>
      </c>
      <c r="T88" s="25">
        <v>489</v>
      </c>
      <c r="U88" s="25">
        <v>510</v>
      </c>
      <c r="V88" s="25">
        <v>519</v>
      </c>
      <c r="W88" s="25">
        <v>570</v>
      </c>
      <c r="X88" s="25">
        <v>621</v>
      </c>
      <c r="Y88" s="25">
        <v>640</v>
      </c>
      <c r="Z88" s="25">
        <v>649</v>
      </c>
      <c r="AA88" s="25">
        <v>654</v>
      </c>
      <c r="AB88" s="25">
        <v>663</v>
      </c>
      <c r="AC88" s="25">
        <v>701</v>
      </c>
      <c r="AD88" s="25">
        <v>740</v>
      </c>
      <c r="AE88" s="25">
        <v>800</v>
      </c>
      <c r="AF88" s="25">
        <v>849</v>
      </c>
      <c r="AG88" s="25">
        <v>862</v>
      </c>
      <c r="AH88" s="25">
        <v>931</v>
      </c>
      <c r="AI88" s="25">
        <v>949</v>
      </c>
      <c r="AJ88" s="68">
        <v>1014</v>
      </c>
      <c r="AK88" s="68">
        <v>1038</v>
      </c>
      <c r="AL88" s="68">
        <v>1116</v>
      </c>
      <c r="AM88" s="68">
        <v>1139</v>
      </c>
      <c r="AN88" s="68">
        <v>1141</v>
      </c>
      <c r="AO88" s="68">
        <v>1179</v>
      </c>
      <c r="AP88" s="68">
        <v>1291</v>
      </c>
      <c r="AQ88" s="25">
        <f t="shared" si="11"/>
        <v>7231</v>
      </c>
      <c r="AR88" s="25">
        <f t="shared" si="12"/>
        <v>12309</v>
      </c>
      <c r="AS88" s="25">
        <f t="shared" si="13"/>
        <v>19540</v>
      </c>
      <c r="AU88"/>
      <c r="AV88"/>
    </row>
    <row r="89" spans="6:48" ht="14.4" x14ac:dyDescent="0.3">
      <c r="F89" s="76"/>
      <c r="G89" s="77"/>
      <c r="H89" s="77"/>
      <c r="I89" s="77"/>
      <c r="J89" s="77"/>
      <c r="K89" s="77"/>
      <c r="L89" s="78"/>
      <c r="O89" s="112" t="s">
        <v>67</v>
      </c>
      <c r="P89" s="25" t="s">
        <v>56</v>
      </c>
      <c r="Q89" s="25" t="s">
        <v>62</v>
      </c>
      <c r="R89" s="25" t="s">
        <v>59</v>
      </c>
      <c r="S89" s="25">
        <v>11</v>
      </c>
      <c r="T89" s="25">
        <v>11</v>
      </c>
      <c r="U89" s="25">
        <v>12</v>
      </c>
      <c r="V89" s="25">
        <v>13</v>
      </c>
      <c r="W89" s="25">
        <v>13</v>
      </c>
      <c r="X89" s="25">
        <v>13</v>
      </c>
      <c r="Y89" s="25">
        <v>14</v>
      </c>
      <c r="Z89" s="25">
        <v>14</v>
      </c>
      <c r="AA89" s="25">
        <v>16</v>
      </c>
      <c r="AB89" s="25">
        <v>17</v>
      </c>
      <c r="AC89" s="25">
        <v>18</v>
      </c>
      <c r="AD89" s="25">
        <v>18</v>
      </c>
      <c r="AE89" s="25">
        <v>19</v>
      </c>
      <c r="AF89" s="25">
        <v>21</v>
      </c>
      <c r="AG89" s="25">
        <v>23</v>
      </c>
      <c r="AH89" s="25">
        <v>24</v>
      </c>
      <c r="AI89" s="25">
        <v>26</v>
      </c>
      <c r="AJ89" s="25">
        <v>27</v>
      </c>
      <c r="AK89" s="25">
        <v>28</v>
      </c>
      <c r="AL89" s="25">
        <v>30</v>
      </c>
      <c r="AM89" s="25">
        <v>32</v>
      </c>
      <c r="AN89" s="25">
        <v>32</v>
      </c>
      <c r="AO89" s="25">
        <v>33</v>
      </c>
      <c r="AP89" s="25">
        <v>34</v>
      </c>
      <c r="AQ89" s="25">
        <f t="shared" si="11"/>
        <v>170</v>
      </c>
      <c r="AR89" s="25">
        <f t="shared" si="12"/>
        <v>329</v>
      </c>
      <c r="AS89" s="25">
        <f t="shared" si="13"/>
        <v>499</v>
      </c>
      <c r="AU89"/>
      <c r="AV89"/>
    </row>
    <row r="90" spans="6:48" ht="14.4" x14ac:dyDescent="0.3">
      <c r="F90" s="76"/>
      <c r="G90" s="77"/>
      <c r="H90" s="77"/>
      <c r="I90" s="77"/>
      <c r="J90" s="77"/>
      <c r="K90" s="77"/>
      <c r="L90" s="78"/>
      <c r="O90" s="112" t="s">
        <v>67</v>
      </c>
      <c r="P90" s="25" t="s">
        <v>56</v>
      </c>
      <c r="Q90" s="25" t="s">
        <v>62</v>
      </c>
      <c r="R90" s="25" t="s">
        <v>60</v>
      </c>
      <c r="S90" s="25">
        <v>820</v>
      </c>
      <c r="T90" s="25">
        <v>843</v>
      </c>
      <c r="U90" s="25">
        <v>849</v>
      </c>
      <c r="V90" s="25">
        <v>893</v>
      </c>
      <c r="W90" s="25">
        <v>937</v>
      </c>
      <c r="X90" s="68">
        <v>1030</v>
      </c>
      <c r="Y90" s="68">
        <v>1045</v>
      </c>
      <c r="Z90" s="68">
        <v>1068</v>
      </c>
      <c r="AA90" s="68">
        <v>1068</v>
      </c>
      <c r="AB90" s="68">
        <v>1143</v>
      </c>
      <c r="AC90" s="68">
        <v>1195</v>
      </c>
      <c r="AD90" s="68">
        <v>1262</v>
      </c>
      <c r="AE90" s="68">
        <v>1292</v>
      </c>
      <c r="AF90" s="68">
        <v>1335</v>
      </c>
      <c r="AG90" s="68">
        <v>1385</v>
      </c>
      <c r="AH90" s="68">
        <v>1518</v>
      </c>
      <c r="AI90" s="68">
        <v>1639</v>
      </c>
      <c r="AJ90" s="68">
        <v>1641</v>
      </c>
      <c r="AK90" s="68">
        <v>1657</v>
      </c>
      <c r="AL90" s="68">
        <v>1692</v>
      </c>
      <c r="AM90" s="68">
        <v>1718</v>
      </c>
      <c r="AN90" s="68">
        <v>1745</v>
      </c>
      <c r="AO90" s="68">
        <v>1747</v>
      </c>
      <c r="AP90" s="68">
        <v>1840</v>
      </c>
      <c r="AQ90" s="25">
        <f t="shared" si="11"/>
        <v>12153</v>
      </c>
      <c r="AR90" s="25">
        <f t="shared" si="12"/>
        <v>19209</v>
      </c>
      <c r="AS90" s="25">
        <f t="shared" si="13"/>
        <v>31362</v>
      </c>
      <c r="AU90"/>
      <c r="AV90"/>
    </row>
    <row r="91" spans="6:48" ht="14.4" x14ac:dyDescent="0.3">
      <c r="F91" s="76"/>
      <c r="G91" s="77"/>
      <c r="H91" s="77"/>
      <c r="I91" s="77"/>
      <c r="J91" s="77"/>
      <c r="K91" s="77"/>
      <c r="L91" s="78"/>
      <c r="O91" s="112" t="s">
        <v>67</v>
      </c>
      <c r="P91" s="25" t="s">
        <v>56</v>
      </c>
      <c r="Q91" s="25" t="s">
        <v>62</v>
      </c>
      <c r="R91" s="25" t="s">
        <v>61</v>
      </c>
      <c r="S91" s="25">
        <v>568</v>
      </c>
      <c r="T91" s="25">
        <v>603</v>
      </c>
      <c r="U91" s="25">
        <v>607</v>
      </c>
      <c r="V91" s="25">
        <v>647</v>
      </c>
      <c r="W91" s="25">
        <v>701</v>
      </c>
      <c r="X91" s="25">
        <v>722</v>
      </c>
      <c r="Y91" s="25">
        <v>726</v>
      </c>
      <c r="Z91" s="25">
        <v>797</v>
      </c>
      <c r="AA91" s="25">
        <v>869</v>
      </c>
      <c r="AB91" s="25">
        <v>939</v>
      </c>
      <c r="AC91" s="68">
        <v>1024</v>
      </c>
      <c r="AD91" s="68">
        <v>1046</v>
      </c>
      <c r="AE91" s="68">
        <v>1128</v>
      </c>
      <c r="AF91" s="68">
        <v>1199</v>
      </c>
      <c r="AG91" s="68">
        <v>1238</v>
      </c>
      <c r="AH91" s="68">
        <v>1352</v>
      </c>
      <c r="AI91" s="68">
        <v>1364</v>
      </c>
      <c r="AJ91" s="68">
        <v>1377</v>
      </c>
      <c r="AK91" s="68">
        <v>1400</v>
      </c>
      <c r="AL91" s="68">
        <v>1536</v>
      </c>
      <c r="AM91" s="68">
        <v>1541</v>
      </c>
      <c r="AN91" s="68">
        <v>1557</v>
      </c>
      <c r="AO91" s="68">
        <v>1601</v>
      </c>
      <c r="AP91" s="68">
        <v>1718</v>
      </c>
      <c r="AQ91" s="25">
        <f t="shared" si="11"/>
        <v>9249</v>
      </c>
      <c r="AR91" s="25">
        <f t="shared" si="12"/>
        <v>17011</v>
      </c>
      <c r="AS91" s="25">
        <f t="shared" si="13"/>
        <v>26260</v>
      </c>
      <c r="AU91"/>
      <c r="AV91"/>
    </row>
    <row r="92" spans="6:48" ht="14.4" x14ac:dyDescent="0.3">
      <c r="F92" s="76"/>
      <c r="G92" s="77"/>
      <c r="H92" s="77"/>
      <c r="I92" s="77"/>
      <c r="J92" s="77"/>
      <c r="K92" s="77"/>
      <c r="L92" s="78"/>
      <c r="O92" s="112" t="s">
        <v>67</v>
      </c>
      <c r="P92" s="25" t="s">
        <v>56</v>
      </c>
      <c r="Q92" s="25" t="s">
        <v>63</v>
      </c>
      <c r="R92" s="25" t="s">
        <v>58</v>
      </c>
      <c r="S92" s="25">
        <v>304</v>
      </c>
      <c r="T92" s="25">
        <v>314</v>
      </c>
      <c r="U92" s="25">
        <v>333</v>
      </c>
      <c r="V92" s="25">
        <v>350</v>
      </c>
      <c r="W92" s="25">
        <v>375</v>
      </c>
      <c r="X92" s="25">
        <v>391</v>
      </c>
      <c r="Y92" s="25">
        <v>410</v>
      </c>
      <c r="Z92" s="25">
        <v>423</v>
      </c>
      <c r="AA92" s="25">
        <v>453</v>
      </c>
      <c r="AB92" s="25">
        <v>497</v>
      </c>
      <c r="AC92" s="25">
        <v>515</v>
      </c>
      <c r="AD92" s="25">
        <v>548</v>
      </c>
      <c r="AE92" s="25">
        <v>595</v>
      </c>
      <c r="AF92" s="25">
        <v>630</v>
      </c>
      <c r="AG92" s="25">
        <v>633</v>
      </c>
      <c r="AH92" s="25">
        <v>655</v>
      </c>
      <c r="AI92" s="25">
        <v>659</v>
      </c>
      <c r="AJ92" s="25">
        <v>696</v>
      </c>
      <c r="AK92" s="25">
        <v>709</v>
      </c>
      <c r="AL92" s="25">
        <v>710</v>
      </c>
      <c r="AM92" s="25">
        <v>777</v>
      </c>
      <c r="AN92" s="25">
        <v>796</v>
      </c>
      <c r="AO92" s="25">
        <v>798</v>
      </c>
      <c r="AP92" s="25">
        <v>869</v>
      </c>
      <c r="AQ92" s="25">
        <f t="shared" si="11"/>
        <v>4913</v>
      </c>
      <c r="AR92" s="25">
        <f t="shared" si="12"/>
        <v>8527</v>
      </c>
      <c r="AS92" s="25">
        <f t="shared" si="13"/>
        <v>13440</v>
      </c>
      <c r="AU92"/>
      <c r="AV92"/>
    </row>
    <row r="93" spans="6:48" ht="14.4" x14ac:dyDescent="0.3">
      <c r="F93" s="76"/>
      <c r="G93" s="77"/>
      <c r="H93" s="77"/>
      <c r="I93" s="77"/>
      <c r="J93" s="77"/>
      <c r="K93" s="77"/>
      <c r="L93" s="78"/>
      <c r="O93" s="112" t="s">
        <v>67</v>
      </c>
      <c r="P93" s="25" t="s">
        <v>56</v>
      </c>
      <c r="Q93" s="25" t="s">
        <v>63</v>
      </c>
      <c r="R93" s="25" t="s">
        <v>59</v>
      </c>
      <c r="S93" s="25">
        <v>166</v>
      </c>
      <c r="T93" s="25">
        <v>171</v>
      </c>
      <c r="U93" s="25">
        <v>175</v>
      </c>
      <c r="V93" s="25">
        <v>176</v>
      </c>
      <c r="W93" s="25">
        <v>184</v>
      </c>
      <c r="X93" s="25">
        <v>200</v>
      </c>
      <c r="Y93" s="25">
        <v>205</v>
      </c>
      <c r="Z93" s="25">
        <v>219</v>
      </c>
      <c r="AA93" s="25">
        <v>233</v>
      </c>
      <c r="AB93" s="25">
        <v>246</v>
      </c>
      <c r="AC93" s="25">
        <v>253</v>
      </c>
      <c r="AD93" s="25">
        <v>257</v>
      </c>
      <c r="AE93" s="25">
        <v>257</v>
      </c>
      <c r="AF93" s="25">
        <v>278</v>
      </c>
      <c r="AG93" s="25">
        <v>292</v>
      </c>
      <c r="AH93" s="25">
        <v>300</v>
      </c>
      <c r="AI93" s="25">
        <v>309</v>
      </c>
      <c r="AJ93" s="25">
        <v>330</v>
      </c>
      <c r="AK93" s="25">
        <v>336</v>
      </c>
      <c r="AL93" s="25">
        <v>349</v>
      </c>
      <c r="AM93" s="25">
        <v>371</v>
      </c>
      <c r="AN93" s="25">
        <v>374</v>
      </c>
      <c r="AO93" s="25">
        <v>395</v>
      </c>
      <c r="AP93" s="25">
        <v>427</v>
      </c>
      <c r="AQ93" s="25">
        <f t="shared" si="11"/>
        <v>2485</v>
      </c>
      <c r="AR93" s="25">
        <f t="shared" si="12"/>
        <v>4018</v>
      </c>
      <c r="AS93" s="25">
        <f t="shared" si="13"/>
        <v>6503</v>
      </c>
      <c r="AU93"/>
      <c r="AV93"/>
    </row>
    <row r="94" spans="6:48" ht="14.4" x14ac:dyDescent="0.3">
      <c r="F94" s="76"/>
      <c r="G94" s="77"/>
      <c r="H94" s="77"/>
      <c r="I94" s="77"/>
      <c r="J94" s="77"/>
      <c r="K94" s="77"/>
      <c r="L94" s="78"/>
      <c r="O94" s="112" t="s">
        <v>67</v>
      </c>
      <c r="P94" s="25" t="s">
        <v>56</v>
      </c>
      <c r="Q94" s="25" t="s">
        <v>63</v>
      </c>
      <c r="R94" s="25" t="s">
        <v>60</v>
      </c>
      <c r="S94" s="25">
        <v>653</v>
      </c>
      <c r="T94" s="25">
        <v>656</v>
      </c>
      <c r="U94" s="25">
        <v>669</v>
      </c>
      <c r="V94" s="25">
        <v>719</v>
      </c>
      <c r="W94" s="25">
        <v>768</v>
      </c>
      <c r="X94" s="25">
        <v>796</v>
      </c>
      <c r="Y94" s="25">
        <v>835</v>
      </c>
      <c r="Z94" s="25">
        <v>869</v>
      </c>
      <c r="AA94" s="25">
        <v>942</v>
      </c>
      <c r="AB94" s="68">
        <v>1017</v>
      </c>
      <c r="AC94" s="68">
        <v>1070</v>
      </c>
      <c r="AD94" s="68">
        <v>1076</v>
      </c>
      <c r="AE94" s="68">
        <v>1076</v>
      </c>
      <c r="AF94" s="68">
        <v>1176</v>
      </c>
      <c r="AG94" s="68">
        <v>1222</v>
      </c>
      <c r="AH94" s="68">
        <v>1267</v>
      </c>
      <c r="AI94" s="68">
        <v>1276</v>
      </c>
      <c r="AJ94" s="68">
        <v>1395</v>
      </c>
      <c r="AK94" s="68">
        <v>1518</v>
      </c>
      <c r="AL94" s="68">
        <v>1563</v>
      </c>
      <c r="AM94" s="68">
        <v>1687</v>
      </c>
      <c r="AN94" s="68">
        <v>1805</v>
      </c>
      <c r="AO94" s="68">
        <v>1827</v>
      </c>
      <c r="AP94" s="68">
        <v>1920</v>
      </c>
      <c r="AQ94" s="25">
        <f t="shared" si="11"/>
        <v>10070</v>
      </c>
      <c r="AR94" s="25">
        <f t="shared" si="12"/>
        <v>17732</v>
      </c>
      <c r="AS94" s="25">
        <f t="shared" si="13"/>
        <v>27802</v>
      </c>
      <c r="AU94"/>
      <c r="AV94"/>
    </row>
    <row r="95" spans="6:48" ht="14.4" x14ac:dyDescent="0.3">
      <c r="F95" s="76"/>
      <c r="G95" s="77"/>
      <c r="H95" s="77"/>
      <c r="I95" s="77"/>
      <c r="J95" s="77"/>
      <c r="K95" s="77"/>
      <c r="L95" s="78"/>
      <c r="O95" s="112" t="s">
        <v>67</v>
      </c>
      <c r="P95" s="25" t="s">
        <v>56</v>
      </c>
      <c r="Q95" s="25" t="s">
        <v>63</v>
      </c>
      <c r="R95" s="25" t="s">
        <v>61</v>
      </c>
      <c r="S95" s="25">
        <v>75</v>
      </c>
      <c r="T95" s="25">
        <v>80</v>
      </c>
      <c r="U95" s="25">
        <v>83</v>
      </c>
      <c r="V95" s="25">
        <v>86</v>
      </c>
      <c r="W95" s="25">
        <v>90</v>
      </c>
      <c r="X95" s="25">
        <v>96</v>
      </c>
      <c r="Y95" s="25">
        <v>97</v>
      </c>
      <c r="Z95" s="25">
        <v>105</v>
      </c>
      <c r="AA95" s="25">
        <v>107</v>
      </c>
      <c r="AB95" s="25">
        <v>109</v>
      </c>
      <c r="AC95" s="25">
        <v>119</v>
      </c>
      <c r="AD95" s="25">
        <v>123</v>
      </c>
      <c r="AE95" s="25">
        <v>127</v>
      </c>
      <c r="AF95" s="25">
        <v>132</v>
      </c>
      <c r="AG95" s="25">
        <v>138</v>
      </c>
      <c r="AH95" s="25">
        <v>146</v>
      </c>
      <c r="AI95" s="25">
        <v>149</v>
      </c>
      <c r="AJ95" s="25">
        <v>160</v>
      </c>
      <c r="AK95" s="25">
        <v>173</v>
      </c>
      <c r="AL95" s="25">
        <v>184</v>
      </c>
      <c r="AM95" s="25">
        <v>201</v>
      </c>
      <c r="AN95" s="25">
        <v>218</v>
      </c>
      <c r="AO95" s="25">
        <v>236</v>
      </c>
      <c r="AP95" s="25">
        <v>242</v>
      </c>
      <c r="AQ95" s="25">
        <f t="shared" si="11"/>
        <v>1170</v>
      </c>
      <c r="AR95" s="25">
        <f t="shared" si="12"/>
        <v>2106</v>
      </c>
      <c r="AS95" s="25">
        <f t="shared" si="13"/>
        <v>3276</v>
      </c>
      <c r="AU95"/>
      <c r="AV95"/>
    </row>
    <row r="96" spans="6:48" ht="14.4" x14ac:dyDescent="0.3">
      <c r="F96" s="76"/>
      <c r="G96" s="77"/>
      <c r="H96" s="77"/>
      <c r="I96" s="77"/>
      <c r="J96" s="77"/>
      <c r="K96" s="77"/>
      <c r="L96" s="78"/>
      <c r="O96" s="112" t="s">
        <v>67</v>
      </c>
      <c r="P96" s="25" t="s">
        <v>64</v>
      </c>
      <c r="Q96" s="25" t="s">
        <v>57</v>
      </c>
      <c r="R96" s="25" t="s">
        <v>58</v>
      </c>
      <c r="S96" s="25">
        <v>749</v>
      </c>
      <c r="T96" s="25">
        <v>770</v>
      </c>
      <c r="U96" s="25">
        <v>784</v>
      </c>
      <c r="V96" s="25">
        <v>845</v>
      </c>
      <c r="W96" s="25">
        <v>902</v>
      </c>
      <c r="X96" s="25">
        <v>916</v>
      </c>
      <c r="Y96" s="25">
        <v>993</v>
      </c>
      <c r="Z96" s="68">
        <v>1051</v>
      </c>
      <c r="AA96" s="68">
        <v>1150</v>
      </c>
      <c r="AB96" s="68">
        <v>1198</v>
      </c>
      <c r="AC96" s="68">
        <v>1243</v>
      </c>
      <c r="AD96" s="68">
        <v>1352</v>
      </c>
      <c r="AE96" s="68">
        <v>1477</v>
      </c>
      <c r="AF96" s="68">
        <v>1511</v>
      </c>
      <c r="AG96" s="68">
        <v>1534</v>
      </c>
      <c r="AH96" s="68">
        <v>1659</v>
      </c>
      <c r="AI96" s="68">
        <v>1823</v>
      </c>
      <c r="AJ96" s="68">
        <v>1830</v>
      </c>
      <c r="AK96" s="68">
        <v>1949</v>
      </c>
      <c r="AL96" s="68">
        <v>1987</v>
      </c>
      <c r="AM96" s="68">
        <v>2128</v>
      </c>
      <c r="AN96" s="68">
        <v>2144</v>
      </c>
      <c r="AO96" s="68">
        <v>2220</v>
      </c>
      <c r="AP96" s="68">
        <v>2439</v>
      </c>
      <c r="AQ96" s="25">
        <f t="shared" si="11"/>
        <v>11953</v>
      </c>
      <c r="AR96" s="25">
        <f t="shared" si="12"/>
        <v>22701</v>
      </c>
      <c r="AS96" s="25">
        <f t="shared" si="13"/>
        <v>34654</v>
      </c>
      <c r="AU96"/>
      <c r="AV96"/>
    </row>
    <row r="97" spans="5:48" ht="14.4" x14ac:dyDescent="0.3">
      <c r="F97" s="79"/>
      <c r="G97" s="80"/>
      <c r="H97" s="80"/>
      <c r="I97" s="80"/>
      <c r="J97" s="80"/>
      <c r="K97" s="80"/>
      <c r="L97" s="81"/>
      <c r="O97" s="112" t="s">
        <v>67</v>
      </c>
      <c r="P97" s="25" t="s">
        <v>64</v>
      </c>
      <c r="Q97" s="25" t="s">
        <v>57</v>
      </c>
      <c r="R97" s="25" t="s">
        <v>59</v>
      </c>
      <c r="S97" s="25">
        <v>257</v>
      </c>
      <c r="T97" s="25">
        <v>261</v>
      </c>
      <c r="U97" s="25">
        <v>263</v>
      </c>
      <c r="V97" s="25">
        <v>276</v>
      </c>
      <c r="W97" s="25">
        <v>280</v>
      </c>
      <c r="X97" s="25">
        <v>296</v>
      </c>
      <c r="Y97" s="25">
        <v>300</v>
      </c>
      <c r="Z97" s="25">
        <v>326</v>
      </c>
      <c r="AA97" s="25">
        <v>334</v>
      </c>
      <c r="AB97" s="25">
        <v>342</v>
      </c>
      <c r="AC97" s="25">
        <v>353</v>
      </c>
      <c r="AD97" s="25">
        <v>369</v>
      </c>
      <c r="AE97" s="25">
        <v>390</v>
      </c>
      <c r="AF97" s="25">
        <v>417</v>
      </c>
      <c r="AG97" s="25">
        <v>428</v>
      </c>
      <c r="AH97" s="25">
        <v>436</v>
      </c>
      <c r="AI97" s="25">
        <v>451</v>
      </c>
      <c r="AJ97" s="25">
        <v>467</v>
      </c>
      <c r="AK97" s="25">
        <v>491</v>
      </c>
      <c r="AL97" s="25">
        <v>527</v>
      </c>
      <c r="AM97" s="25">
        <v>541</v>
      </c>
      <c r="AN97" s="25">
        <v>544</v>
      </c>
      <c r="AO97" s="25">
        <v>545</v>
      </c>
      <c r="AP97" s="25">
        <v>555</v>
      </c>
      <c r="AQ97" s="25">
        <f t="shared" si="11"/>
        <v>3657</v>
      </c>
      <c r="AR97" s="25">
        <f t="shared" si="12"/>
        <v>5792</v>
      </c>
      <c r="AS97" s="25">
        <f t="shared" si="13"/>
        <v>9449</v>
      </c>
      <c r="AU97"/>
      <c r="AV97"/>
    </row>
    <row r="98" spans="5:48" ht="14.4" x14ac:dyDescent="0.3">
      <c r="O98" s="112" t="s">
        <v>67</v>
      </c>
      <c r="P98" s="25" t="s">
        <v>64</v>
      </c>
      <c r="Q98" s="25" t="s">
        <v>57</v>
      </c>
      <c r="R98" s="25" t="s">
        <v>60</v>
      </c>
      <c r="S98" s="25">
        <v>114</v>
      </c>
      <c r="T98" s="25">
        <v>114</v>
      </c>
      <c r="U98" s="25">
        <v>118</v>
      </c>
      <c r="V98" s="25">
        <v>119</v>
      </c>
      <c r="W98" s="25">
        <v>123</v>
      </c>
      <c r="X98" s="25">
        <v>127</v>
      </c>
      <c r="Y98" s="25">
        <v>136</v>
      </c>
      <c r="Z98" s="25">
        <v>144</v>
      </c>
      <c r="AA98" s="25">
        <v>153</v>
      </c>
      <c r="AB98" s="25">
        <v>160</v>
      </c>
      <c r="AC98" s="25">
        <v>169</v>
      </c>
      <c r="AD98" s="25">
        <v>179</v>
      </c>
      <c r="AE98" s="25">
        <v>190</v>
      </c>
      <c r="AF98" s="25">
        <v>197</v>
      </c>
      <c r="AG98" s="25">
        <v>210</v>
      </c>
      <c r="AH98" s="25">
        <v>230</v>
      </c>
      <c r="AI98" s="25">
        <v>240</v>
      </c>
      <c r="AJ98" s="25">
        <v>241</v>
      </c>
      <c r="AK98" s="25">
        <v>242</v>
      </c>
      <c r="AL98" s="25">
        <v>262</v>
      </c>
      <c r="AM98" s="25">
        <v>285</v>
      </c>
      <c r="AN98" s="25">
        <v>288</v>
      </c>
      <c r="AO98" s="25">
        <v>301</v>
      </c>
      <c r="AP98" s="25">
        <v>324</v>
      </c>
      <c r="AQ98" s="25">
        <f t="shared" si="11"/>
        <v>1656</v>
      </c>
      <c r="AR98" s="25">
        <f t="shared" si="12"/>
        <v>3010</v>
      </c>
      <c r="AS98" s="25">
        <f t="shared" si="13"/>
        <v>4666</v>
      </c>
      <c r="AU98"/>
      <c r="AV98"/>
    </row>
    <row r="99" spans="5:48" ht="14.4" x14ac:dyDescent="0.3">
      <c r="O99" s="112" t="s">
        <v>67</v>
      </c>
      <c r="P99" s="25" t="s">
        <v>64</v>
      </c>
      <c r="Q99" s="25" t="s">
        <v>57</v>
      </c>
      <c r="R99" s="25" t="s">
        <v>61</v>
      </c>
      <c r="S99" s="25">
        <v>725</v>
      </c>
      <c r="T99" s="25">
        <v>774</v>
      </c>
      <c r="U99" s="25">
        <v>829</v>
      </c>
      <c r="V99" s="25">
        <v>853</v>
      </c>
      <c r="W99" s="25">
        <v>934</v>
      </c>
      <c r="X99" s="25">
        <v>995</v>
      </c>
      <c r="Y99" s="68">
        <v>1024</v>
      </c>
      <c r="Z99" s="68">
        <v>1075</v>
      </c>
      <c r="AA99" s="68">
        <v>1175</v>
      </c>
      <c r="AB99" s="68">
        <v>1211</v>
      </c>
      <c r="AC99" s="68">
        <v>1325</v>
      </c>
      <c r="AD99" s="68">
        <v>1383</v>
      </c>
      <c r="AE99" s="68">
        <v>1402</v>
      </c>
      <c r="AF99" s="68">
        <v>1488</v>
      </c>
      <c r="AG99" s="68">
        <v>1553</v>
      </c>
      <c r="AH99" s="68">
        <v>1590</v>
      </c>
      <c r="AI99" s="68">
        <v>1648</v>
      </c>
      <c r="AJ99" s="68">
        <v>1675</v>
      </c>
      <c r="AK99" s="68">
        <v>1715</v>
      </c>
      <c r="AL99" s="68">
        <v>1809</v>
      </c>
      <c r="AM99" s="68">
        <v>1956</v>
      </c>
      <c r="AN99" s="68">
        <v>2001</v>
      </c>
      <c r="AO99" s="68">
        <v>2140</v>
      </c>
      <c r="AP99" s="68">
        <v>2176</v>
      </c>
      <c r="AQ99" s="25">
        <f t="shared" si="11"/>
        <v>12303</v>
      </c>
      <c r="AR99" s="25">
        <f t="shared" si="12"/>
        <v>21153</v>
      </c>
      <c r="AS99" s="25">
        <f t="shared" si="13"/>
        <v>33456</v>
      </c>
      <c r="AU99"/>
      <c r="AV99"/>
    </row>
    <row r="100" spans="5:48" ht="14.4" x14ac:dyDescent="0.3">
      <c r="O100" s="112" t="s">
        <v>67</v>
      </c>
      <c r="P100" s="25" t="s">
        <v>64</v>
      </c>
      <c r="Q100" s="25" t="s">
        <v>62</v>
      </c>
      <c r="R100" s="25" t="s">
        <v>58</v>
      </c>
      <c r="S100" s="25">
        <v>640</v>
      </c>
      <c r="T100" s="25">
        <v>673</v>
      </c>
      <c r="U100" s="25">
        <v>692</v>
      </c>
      <c r="V100" s="25">
        <v>702</v>
      </c>
      <c r="W100" s="25">
        <v>714</v>
      </c>
      <c r="X100" s="25">
        <v>717</v>
      </c>
      <c r="Y100" s="25">
        <v>757</v>
      </c>
      <c r="Z100" s="25">
        <v>770</v>
      </c>
      <c r="AA100" s="25">
        <v>827</v>
      </c>
      <c r="AB100" s="25">
        <v>860</v>
      </c>
      <c r="AC100" s="25">
        <v>914</v>
      </c>
      <c r="AD100" s="68">
        <v>1003</v>
      </c>
      <c r="AE100" s="68">
        <v>1032</v>
      </c>
      <c r="AF100" s="68">
        <v>1070</v>
      </c>
      <c r="AG100" s="68">
        <v>1172</v>
      </c>
      <c r="AH100" s="68">
        <v>1232</v>
      </c>
      <c r="AI100" s="68">
        <v>1351</v>
      </c>
      <c r="AJ100" s="68">
        <v>1387</v>
      </c>
      <c r="AK100" s="68">
        <v>1400</v>
      </c>
      <c r="AL100" s="68">
        <v>1481</v>
      </c>
      <c r="AM100" s="68">
        <v>1582</v>
      </c>
      <c r="AN100" s="68">
        <v>1650</v>
      </c>
      <c r="AO100" s="68">
        <v>1657</v>
      </c>
      <c r="AP100" s="68">
        <v>1712</v>
      </c>
      <c r="AQ100" s="25">
        <f t="shared" si="11"/>
        <v>9269</v>
      </c>
      <c r="AR100" s="25">
        <f t="shared" si="12"/>
        <v>16726</v>
      </c>
      <c r="AS100" s="25">
        <f t="shared" si="13"/>
        <v>25995</v>
      </c>
      <c r="AU100"/>
      <c r="AV100"/>
    </row>
    <row r="101" spans="5:48" ht="14.4" x14ac:dyDescent="0.3">
      <c r="E101"/>
      <c r="F101"/>
      <c r="G101"/>
      <c r="O101" s="112" t="s">
        <v>67</v>
      </c>
      <c r="P101" s="25" t="s">
        <v>64</v>
      </c>
      <c r="Q101" s="25" t="s">
        <v>62</v>
      </c>
      <c r="R101" s="25" t="s">
        <v>59</v>
      </c>
      <c r="S101" s="25">
        <v>408</v>
      </c>
      <c r="T101" s="25">
        <v>412</v>
      </c>
      <c r="U101" s="25">
        <v>424</v>
      </c>
      <c r="V101" s="25">
        <v>427</v>
      </c>
      <c r="W101" s="25">
        <v>457</v>
      </c>
      <c r="X101" s="25">
        <v>477</v>
      </c>
      <c r="Y101" s="25">
        <v>490</v>
      </c>
      <c r="Z101" s="25">
        <v>538</v>
      </c>
      <c r="AA101" s="25">
        <v>579</v>
      </c>
      <c r="AB101" s="25">
        <v>617</v>
      </c>
      <c r="AC101" s="25">
        <v>673</v>
      </c>
      <c r="AD101" s="25">
        <v>728</v>
      </c>
      <c r="AE101" s="25">
        <v>773</v>
      </c>
      <c r="AF101" s="25">
        <v>780</v>
      </c>
      <c r="AG101" s="25">
        <v>804</v>
      </c>
      <c r="AH101" s="25">
        <v>836</v>
      </c>
      <c r="AI101" s="25">
        <v>919</v>
      </c>
      <c r="AJ101" s="25">
        <v>985</v>
      </c>
      <c r="AK101" s="68">
        <v>1083</v>
      </c>
      <c r="AL101" s="68">
        <v>1083</v>
      </c>
      <c r="AM101" s="68">
        <v>1181</v>
      </c>
      <c r="AN101" s="68">
        <v>1200</v>
      </c>
      <c r="AO101" s="68">
        <v>1252</v>
      </c>
      <c r="AP101" s="68">
        <v>1331</v>
      </c>
      <c r="AQ101" s="25">
        <f t="shared" si="11"/>
        <v>6230</v>
      </c>
      <c r="AR101" s="25">
        <f t="shared" si="12"/>
        <v>12227</v>
      </c>
      <c r="AS101" s="25">
        <f t="shared" si="13"/>
        <v>18457</v>
      </c>
      <c r="AU101"/>
      <c r="AV101"/>
    </row>
    <row r="102" spans="5:48" ht="14.4" x14ac:dyDescent="0.3">
      <c r="E102"/>
      <c r="F102"/>
      <c r="G102"/>
      <c r="O102" s="112" t="s">
        <v>67</v>
      </c>
      <c r="P102" s="25" t="s">
        <v>64</v>
      </c>
      <c r="Q102" s="25" t="s">
        <v>62</v>
      </c>
      <c r="R102" s="25" t="s">
        <v>60</v>
      </c>
      <c r="S102" s="25">
        <v>450</v>
      </c>
      <c r="T102" s="25">
        <v>458</v>
      </c>
      <c r="U102" s="25">
        <v>497</v>
      </c>
      <c r="V102" s="25">
        <v>516</v>
      </c>
      <c r="W102" s="25">
        <v>560</v>
      </c>
      <c r="X102" s="25">
        <v>585</v>
      </c>
      <c r="Y102" s="25">
        <v>618</v>
      </c>
      <c r="Z102" s="25">
        <v>622</v>
      </c>
      <c r="AA102" s="25">
        <v>662</v>
      </c>
      <c r="AB102" s="25">
        <v>675</v>
      </c>
      <c r="AC102" s="25">
        <v>678</v>
      </c>
      <c r="AD102" s="25">
        <v>713</v>
      </c>
      <c r="AE102" s="25">
        <v>737</v>
      </c>
      <c r="AF102" s="25">
        <v>798</v>
      </c>
      <c r="AG102" s="25">
        <v>806</v>
      </c>
      <c r="AH102" s="25">
        <v>827</v>
      </c>
      <c r="AI102" s="25">
        <v>861</v>
      </c>
      <c r="AJ102" s="25">
        <v>934</v>
      </c>
      <c r="AK102" s="25">
        <v>967</v>
      </c>
      <c r="AL102" s="68">
        <v>1058</v>
      </c>
      <c r="AM102" s="68">
        <v>1102</v>
      </c>
      <c r="AN102" s="68">
        <v>1118</v>
      </c>
      <c r="AO102" s="68">
        <v>1216</v>
      </c>
      <c r="AP102" s="68">
        <v>1247</v>
      </c>
      <c r="AQ102" s="25">
        <f t="shared" si="11"/>
        <v>7034</v>
      </c>
      <c r="AR102" s="25">
        <f t="shared" si="12"/>
        <v>11671</v>
      </c>
      <c r="AS102" s="25">
        <f t="shared" si="13"/>
        <v>18705</v>
      </c>
      <c r="AU102"/>
      <c r="AV102"/>
    </row>
    <row r="103" spans="5:48" ht="14.4" x14ac:dyDescent="0.3">
      <c r="E103"/>
      <c r="F103"/>
      <c r="G103"/>
      <c r="O103" s="112" t="s">
        <v>67</v>
      </c>
      <c r="P103" s="25" t="s">
        <v>64</v>
      </c>
      <c r="Q103" s="25" t="s">
        <v>62</v>
      </c>
      <c r="R103" s="25" t="s">
        <v>61</v>
      </c>
      <c r="S103" s="25">
        <v>376</v>
      </c>
      <c r="T103" s="25">
        <v>401</v>
      </c>
      <c r="U103" s="25">
        <v>404</v>
      </c>
      <c r="V103" s="25">
        <v>421</v>
      </c>
      <c r="W103" s="25">
        <v>456</v>
      </c>
      <c r="X103" s="25">
        <v>498</v>
      </c>
      <c r="Y103" s="25">
        <v>520</v>
      </c>
      <c r="Z103" s="25">
        <v>566</v>
      </c>
      <c r="AA103" s="25">
        <v>589</v>
      </c>
      <c r="AB103" s="25">
        <v>609</v>
      </c>
      <c r="AC103" s="25">
        <v>642</v>
      </c>
      <c r="AD103" s="25">
        <v>699</v>
      </c>
      <c r="AE103" s="25">
        <v>745</v>
      </c>
      <c r="AF103" s="25">
        <v>798</v>
      </c>
      <c r="AG103" s="25">
        <v>872</v>
      </c>
      <c r="AH103" s="25">
        <v>940</v>
      </c>
      <c r="AI103" s="25">
        <v>999</v>
      </c>
      <c r="AJ103" s="68">
        <v>1017</v>
      </c>
      <c r="AK103" s="68">
        <v>1050</v>
      </c>
      <c r="AL103" s="68">
        <v>1082</v>
      </c>
      <c r="AM103" s="68">
        <v>1167</v>
      </c>
      <c r="AN103" s="68">
        <v>1211</v>
      </c>
      <c r="AO103" s="68">
        <v>1320</v>
      </c>
      <c r="AP103" s="68">
        <v>1411</v>
      </c>
      <c r="AQ103" s="25">
        <f t="shared" si="11"/>
        <v>6181</v>
      </c>
      <c r="AR103" s="25">
        <f t="shared" si="12"/>
        <v>12612</v>
      </c>
      <c r="AS103" s="25">
        <f t="shared" si="13"/>
        <v>18793</v>
      </c>
      <c r="AU103"/>
      <c r="AV103"/>
    </row>
    <row r="104" spans="5:48" ht="14.4" x14ac:dyDescent="0.3">
      <c r="E104"/>
      <c r="F104"/>
      <c r="G104"/>
      <c r="O104" s="112" t="s">
        <v>67</v>
      </c>
      <c r="P104" s="25" t="s">
        <v>64</v>
      </c>
      <c r="Q104" s="25" t="s">
        <v>63</v>
      </c>
      <c r="R104" s="25" t="s">
        <v>58</v>
      </c>
      <c r="S104" s="25">
        <v>298</v>
      </c>
      <c r="T104" s="25">
        <v>322</v>
      </c>
      <c r="U104" s="25">
        <v>339</v>
      </c>
      <c r="V104" s="25">
        <v>361</v>
      </c>
      <c r="W104" s="25">
        <v>378</v>
      </c>
      <c r="X104" s="25">
        <v>395</v>
      </c>
      <c r="Y104" s="25">
        <v>425</v>
      </c>
      <c r="Z104" s="25">
        <v>467</v>
      </c>
      <c r="AA104" s="25">
        <v>494</v>
      </c>
      <c r="AB104" s="25">
        <v>527</v>
      </c>
      <c r="AC104" s="25">
        <v>537</v>
      </c>
      <c r="AD104" s="25">
        <v>566</v>
      </c>
      <c r="AE104" s="25">
        <v>608</v>
      </c>
      <c r="AF104" s="25">
        <v>608</v>
      </c>
      <c r="AG104" s="25">
        <v>629</v>
      </c>
      <c r="AH104" s="25">
        <v>640</v>
      </c>
      <c r="AI104" s="25">
        <v>676</v>
      </c>
      <c r="AJ104" s="25">
        <v>681</v>
      </c>
      <c r="AK104" s="25">
        <v>740</v>
      </c>
      <c r="AL104" s="25">
        <v>785</v>
      </c>
      <c r="AM104" s="25">
        <v>806</v>
      </c>
      <c r="AN104" s="25">
        <v>808</v>
      </c>
      <c r="AO104" s="25">
        <v>871</v>
      </c>
      <c r="AP104" s="25">
        <v>908</v>
      </c>
      <c r="AQ104" s="25">
        <f t="shared" si="11"/>
        <v>5109</v>
      </c>
      <c r="AR104" s="25">
        <f t="shared" si="12"/>
        <v>8760</v>
      </c>
      <c r="AS104" s="25">
        <f t="shared" si="13"/>
        <v>13869</v>
      </c>
      <c r="AU104"/>
      <c r="AV104"/>
    </row>
    <row r="105" spans="5:48" ht="14.4" x14ac:dyDescent="0.3">
      <c r="E105"/>
      <c r="F105"/>
      <c r="G105"/>
      <c r="O105" s="112" t="s">
        <v>67</v>
      </c>
      <c r="P105" s="25" t="s">
        <v>64</v>
      </c>
      <c r="Q105" s="25" t="s">
        <v>63</v>
      </c>
      <c r="R105" s="25" t="s">
        <v>59</v>
      </c>
      <c r="S105" s="25">
        <v>394</v>
      </c>
      <c r="T105" s="25">
        <v>411</v>
      </c>
      <c r="U105" s="25">
        <v>425</v>
      </c>
      <c r="V105" s="25">
        <v>452</v>
      </c>
      <c r="W105" s="25">
        <v>487</v>
      </c>
      <c r="X105" s="25">
        <v>531</v>
      </c>
      <c r="Y105" s="25">
        <v>567</v>
      </c>
      <c r="Z105" s="25">
        <v>593</v>
      </c>
      <c r="AA105" s="25">
        <v>637</v>
      </c>
      <c r="AB105" s="25">
        <v>669</v>
      </c>
      <c r="AC105" s="25">
        <v>670</v>
      </c>
      <c r="AD105" s="25">
        <v>735</v>
      </c>
      <c r="AE105" s="25">
        <v>789</v>
      </c>
      <c r="AF105" s="25">
        <v>841</v>
      </c>
      <c r="AG105" s="25">
        <v>862</v>
      </c>
      <c r="AH105" s="25">
        <v>899</v>
      </c>
      <c r="AI105" s="25">
        <v>984</v>
      </c>
      <c r="AJ105" s="68">
        <v>1060</v>
      </c>
      <c r="AK105" s="68">
        <v>1091</v>
      </c>
      <c r="AL105" s="68">
        <v>1193</v>
      </c>
      <c r="AM105" s="68">
        <v>1257</v>
      </c>
      <c r="AN105" s="68">
        <v>1326</v>
      </c>
      <c r="AO105" s="68">
        <v>1342</v>
      </c>
      <c r="AP105" s="68">
        <v>1365</v>
      </c>
      <c r="AQ105" s="25">
        <f t="shared" si="11"/>
        <v>6571</v>
      </c>
      <c r="AR105" s="25">
        <f t="shared" si="12"/>
        <v>13009</v>
      </c>
      <c r="AS105" s="25">
        <f t="shared" si="13"/>
        <v>19580</v>
      </c>
      <c r="AU105"/>
      <c r="AV105"/>
    </row>
    <row r="106" spans="5:48" ht="14.4" x14ac:dyDescent="0.3">
      <c r="E106"/>
      <c r="F106"/>
      <c r="G106"/>
      <c r="O106" s="112" t="s">
        <v>67</v>
      </c>
      <c r="P106" s="25" t="s">
        <v>64</v>
      </c>
      <c r="Q106" s="25" t="s">
        <v>63</v>
      </c>
      <c r="R106" s="25" t="s">
        <v>60</v>
      </c>
      <c r="S106" s="25">
        <v>547</v>
      </c>
      <c r="T106" s="25">
        <v>591</v>
      </c>
      <c r="U106" s="25">
        <v>616</v>
      </c>
      <c r="V106" s="25">
        <v>655</v>
      </c>
      <c r="W106" s="25">
        <v>699</v>
      </c>
      <c r="X106" s="25">
        <v>743</v>
      </c>
      <c r="Y106" s="25">
        <v>775</v>
      </c>
      <c r="Z106" s="25">
        <v>824</v>
      </c>
      <c r="AA106" s="25">
        <v>841</v>
      </c>
      <c r="AB106" s="25">
        <v>869</v>
      </c>
      <c r="AC106" s="25">
        <v>933</v>
      </c>
      <c r="AD106" s="25">
        <v>945</v>
      </c>
      <c r="AE106" s="25">
        <v>971</v>
      </c>
      <c r="AF106" s="68">
        <v>1050</v>
      </c>
      <c r="AG106" s="68">
        <v>1136</v>
      </c>
      <c r="AH106" s="68">
        <v>1138</v>
      </c>
      <c r="AI106" s="68">
        <v>1170</v>
      </c>
      <c r="AJ106" s="68">
        <v>1217</v>
      </c>
      <c r="AK106" s="68">
        <v>1301</v>
      </c>
      <c r="AL106" s="68">
        <v>1344</v>
      </c>
      <c r="AM106" s="68">
        <v>1376</v>
      </c>
      <c r="AN106" s="68">
        <v>1453</v>
      </c>
      <c r="AO106" s="68">
        <v>1498</v>
      </c>
      <c r="AP106" s="68">
        <v>1521</v>
      </c>
      <c r="AQ106" s="25">
        <f t="shared" si="11"/>
        <v>9038</v>
      </c>
      <c r="AR106" s="25">
        <f t="shared" si="12"/>
        <v>15175</v>
      </c>
      <c r="AS106" s="25">
        <f t="shared" si="13"/>
        <v>24213</v>
      </c>
      <c r="AU106"/>
      <c r="AV106"/>
    </row>
    <row r="107" spans="5:48" ht="14.4" x14ac:dyDescent="0.3">
      <c r="E107"/>
      <c r="F107"/>
      <c r="G107"/>
      <c r="O107" s="112" t="s">
        <v>67</v>
      </c>
      <c r="P107" s="25" t="s">
        <v>64</v>
      </c>
      <c r="Q107" s="25" t="s">
        <v>63</v>
      </c>
      <c r="R107" s="25" t="s">
        <v>61</v>
      </c>
      <c r="S107" s="25">
        <v>152</v>
      </c>
      <c r="T107" s="25">
        <v>157</v>
      </c>
      <c r="U107" s="25">
        <v>168</v>
      </c>
      <c r="V107" s="25">
        <v>170</v>
      </c>
      <c r="W107" s="25">
        <v>178</v>
      </c>
      <c r="X107" s="25">
        <v>180</v>
      </c>
      <c r="Y107" s="25">
        <v>193</v>
      </c>
      <c r="Z107" s="25">
        <v>209</v>
      </c>
      <c r="AA107" s="25">
        <v>209</v>
      </c>
      <c r="AB107" s="25">
        <v>212</v>
      </c>
      <c r="AC107" s="25">
        <v>229</v>
      </c>
      <c r="AD107" s="25">
        <v>244</v>
      </c>
      <c r="AE107" s="25">
        <v>251</v>
      </c>
      <c r="AF107" s="25">
        <v>264</v>
      </c>
      <c r="AG107" s="25">
        <v>265</v>
      </c>
      <c r="AH107" s="25">
        <v>283</v>
      </c>
      <c r="AI107" s="25">
        <v>305</v>
      </c>
      <c r="AJ107" s="25">
        <v>314</v>
      </c>
      <c r="AK107" s="25">
        <v>323</v>
      </c>
      <c r="AL107" s="25">
        <v>337</v>
      </c>
      <c r="AM107" s="25">
        <v>370</v>
      </c>
      <c r="AN107" s="25">
        <v>394</v>
      </c>
      <c r="AO107" s="25">
        <v>402</v>
      </c>
      <c r="AP107" s="25">
        <v>408</v>
      </c>
      <c r="AQ107" s="25">
        <f t="shared" si="11"/>
        <v>2301</v>
      </c>
      <c r="AR107" s="25">
        <f t="shared" si="12"/>
        <v>3916</v>
      </c>
      <c r="AS107" s="25">
        <f t="shared" si="13"/>
        <v>6217</v>
      </c>
      <c r="AU107"/>
      <c r="AV107"/>
    </row>
    <row r="108" spans="5:48" ht="14.4" x14ac:dyDescent="0.3">
      <c r="E108"/>
      <c r="F108"/>
      <c r="G108"/>
      <c r="O108" s="112" t="s">
        <v>67</v>
      </c>
      <c r="P108" s="25" t="s">
        <v>65</v>
      </c>
      <c r="Q108" s="25" t="s">
        <v>57</v>
      </c>
      <c r="R108" s="25" t="s">
        <v>58</v>
      </c>
      <c r="S108" s="25">
        <v>364</v>
      </c>
      <c r="T108" s="25">
        <v>371</v>
      </c>
      <c r="U108" s="25">
        <v>403</v>
      </c>
      <c r="V108" s="25">
        <v>407</v>
      </c>
      <c r="W108" s="25">
        <v>427</v>
      </c>
      <c r="X108" s="25">
        <v>431</v>
      </c>
      <c r="Y108" s="25">
        <v>463</v>
      </c>
      <c r="Z108" s="25">
        <v>499</v>
      </c>
      <c r="AA108" s="25">
        <v>502</v>
      </c>
      <c r="AB108" s="25">
        <v>546</v>
      </c>
      <c r="AC108" s="25">
        <v>546</v>
      </c>
      <c r="AD108" s="25">
        <v>555</v>
      </c>
      <c r="AE108" s="25">
        <v>557</v>
      </c>
      <c r="AF108" s="25">
        <v>585</v>
      </c>
      <c r="AG108" s="25">
        <v>612</v>
      </c>
      <c r="AH108" s="25">
        <v>619</v>
      </c>
      <c r="AI108" s="25">
        <v>673</v>
      </c>
      <c r="AJ108" s="25">
        <v>682</v>
      </c>
      <c r="AK108" s="25">
        <v>711</v>
      </c>
      <c r="AL108" s="25">
        <v>745</v>
      </c>
      <c r="AM108" s="25">
        <v>779</v>
      </c>
      <c r="AN108" s="25">
        <v>808</v>
      </c>
      <c r="AO108" s="25">
        <v>867</v>
      </c>
      <c r="AP108" s="25">
        <v>911</v>
      </c>
      <c r="AQ108" s="25">
        <f t="shared" si="11"/>
        <v>5514</v>
      </c>
      <c r="AR108" s="25">
        <f t="shared" si="12"/>
        <v>8549</v>
      </c>
      <c r="AS108" s="25">
        <f t="shared" si="13"/>
        <v>14063</v>
      </c>
      <c r="AU108"/>
      <c r="AV108"/>
    </row>
    <row r="109" spans="5:48" ht="14.4" x14ac:dyDescent="0.3">
      <c r="E109"/>
      <c r="F109"/>
      <c r="G109"/>
      <c r="O109" s="112" t="s">
        <v>67</v>
      </c>
      <c r="P109" s="25" t="s">
        <v>65</v>
      </c>
      <c r="Q109" s="25" t="s">
        <v>57</v>
      </c>
      <c r="R109" s="25" t="s">
        <v>59</v>
      </c>
      <c r="S109" s="25">
        <v>740</v>
      </c>
      <c r="T109" s="25">
        <v>742</v>
      </c>
      <c r="U109" s="25">
        <v>762</v>
      </c>
      <c r="V109" s="25">
        <v>797</v>
      </c>
      <c r="W109" s="25">
        <v>862</v>
      </c>
      <c r="X109" s="25">
        <v>922</v>
      </c>
      <c r="Y109" s="68">
        <v>1007</v>
      </c>
      <c r="Z109" s="68">
        <v>1037</v>
      </c>
      <c r="AA109" s="68">
        <v>1068</v>
      </c>
      <c r="AB109" s="68">
        <v>1124</v>
      </c>
      <c r="AC109" s="68">
        <v>1137</v>
      </c>
      <c r="AD109" s="68">
        <v>1169</v>
      </c>
      <c r="AE109" s="68">
        <v>1223</v>
      </c>
      <c r="AF109" s="68">
        <v>1305</v>
      </c>
      <c r="AG109" s="68">
        <v>1324</v>
      </c>
      <c r="AH109" s="68">
        <v>1360</v>
      </c>
      <c r="AI109" s="68">
        <v>1376</v>
      </c>
      <c r="AJ109" s="68">
        <v>1379</v>
      </c>
      <c r="AK109" s="68">
        <v>1482</v>
      </c>
      <c r="AL109" s="68">
        <v>1625</v>
      </c>
      <c r="AM109" s="68">
        <v>1781</v>
      </c>
      <c r="AN109" s="68">
        <v>1954</v>
      </c>
      <c r="AO109" s="68">
        <v>1995</v>
      </c>
      <c r="AP109" s="68">
        <v>2005</v>
      </c>
      <c r="AQ109" s="25">
        <f t="shared" si="11"/>
        <v>11367</v>
      </c>
      <c r="AR109" s="25">
        <f t="shared" si="12"/>
        <v>18809</v>
      </c>
      <c r="AS109" s="25">
        <f t="shared" si="13"/>
        <v>30176</v>
      </c>
      <c r="AU109"/>
      <c r="AV109"/>
    </row>
    <row r="110" spans="5:48" ht="14.4" x14ac:dyDescent="0.3">
      <c r="E110"/>
      <c r="F110"/>
      <c r="G110"/>
      <c r="O110" s="112" t="s">
        <v>67</v>
      </c>
      <c r="P110" s="25" t="s">
        <v>65</v>
      </c>
      <c r="Q110" s="25" t="s">
        <v>57</v>
      </c>
      <c r="R110" s="25" t="s">
        <v>60</v>
      </c>
      <c r="S110" s="25">
        <v>773</v>
      </c>
      <c r="T110" s="25">
        <v>847</v>
      </c>
      <c r="U110" s="25">
        <v>897</v>
      </c>
      <c r="V110" s="25">
        <v>963</v>
      </c>
      <c r="W110" s="25">
        <v>995</v>
      </c>
      <c r="X110" s="68">
        <v>1081</v>
      </c>
      <c r="Y110" s="68">
        <v>1099</v>
      </c>
      <c r="Z110" s="68">
        <v>1127</v>
      </c>
      <c r="AA110" s="68">
        <v>1143</v>
      </c>
      <c r="AB110" s="68">
        <v>1153</v>
      </c>
      <c r="AC110" s="68">
        <v>1256</v>
      </c>
      <c r="AD110" s="68">
        <v>1284</v>
      </c>
      <c r="AE110" s="68">
        <v>1402</v>
      </c>
      <c r="AF110" s="68">
        <v>1531</v>
      </c>
      <c r="AG110" s="68">
        <v>1577</v>
      </c>
      <c r="AH110" s="68">
        <v>1707</v>
      </c>
      <c r="AI110" s="68">
        <v>1807</v>
      </c>
      <c r="AJ110" s="68">
        <v>1926</v>
      </c>
      <c r="AK110" s="68">
        <v>2104</v>
      </c>
      <c r="AL110" s="68">
        <v>2245</v>
      </c>
      <c r="AM110" s="68">
        <v>2434</v>
      </c>
      <c r="AN110" s="68">
        <v>2514</v>
      </c>
      <c r="AO110" s="68">
        <v>2737</v>
      </c>
      <c r="AP110" s="68">
        <v>2894</v>
      </c>
      <c r="AQ110" s="25">
        <f t="shared" si="11"/>
        <v>12618</v>
      </c>
      <c r="AR110" s="25">
        <f t="shared" si="12"/>
        <v>24878</v>
      </c>
      <c r="AS110" s="25">
        <f t="shared" si="13"/>
        <v>37496</v>
      </c>
      <c r="AU110"/>
      <c r="AV110"/>
    </row>
    <row r="111" spans="5:48" ht="14.4" x14ac:dyDescent="0.3">
      <c r="E111"/>
      <c r="F111"/>
      <c r="G111"/>
      <c r="O111" s="112" t="s">
        <v>67</v>
      </c>
      <c r="P111" s="25" t="s">
        <v>65</v>
      </c>
      <c r="Q111" s="25" t="s">
        <v>57</v>
      </c>
      <c r="R111" s="25" t="s">
        <v>61</v>
      </c>
      <c r="S111" s="25">
        <v>754</v>
      </c>
      <c r="T111" s="25">
        <v>812</v>
      </c>
      <c r="U111" s="25">
        <v>837</v>
      </c>
      <c r="V111" s="25">
        <v>859</v>
      </c>
      <c r="W111" s="25">
        <v>873</v>
      </c>
      <c r="X111" s="25">
        <v>915</v>
      </c>
      <c r="Y111" s="25">
        <v>966</v>
      </c>
      <c r="Z111" s="68">
        <v>1003</v>
      </c>
      <c r="AA111" s="68">
        <v>1032</v>
      </c>
      <c r="AB111" s="68">
        <v>1128</v>
      </c>
      <c r="AC111" s="68">
        <v>1133</v>
      </c>
      <c r="AD111" s="68">
        <v>1219</v>
      </c>
      <c r="AE111" s="68">
        <v>1219</v>
      </c>
      <c r="AF111" s="68">
        <v>1253</v>
      </c>
      <c r="AG111" s="68">
        <v>1378</v>
      </c>
      <c r="AH111" s="68">
        <v>1498</v>
      </c>
      <c r="AI111" s="68">
        <v>1593</v>
      </c>
      <c r="AJ111" s="68">
        <v>1639</v>
      </c>
      <c r="AK111" s="68">
        <v>1800</v>
      </c>
      <c r="AL111" s="68">
        <v>1897</v>
      </c>
      <c r="AM111" s="68">
        <v>1901</v>
      </c>
      <c r="AN111" s="68">
        <v>1996</v>
      </c>
      <c r="AO111" s="68">
        <v>2132</v>
      </c>
      <c r="AP111" s="68">
        <v>2265</v>
      </c>
      <c r="AQ111" s="25">
        <f t="shared" si="11"/>
        <v>11531</v>
      </c>
      <c r="AR111" s="25">
        <f t="shared" si="12"/>
        <v>20571</v>
      </c>
      <c r="AS111" s="25">
        <f t="shared" si="13"/>
        <v>32102</v>
      </c>
      <c r="AU111"/>
      <c r="AV111"/>
    </row>
    <row r="112" spans="5:48" ht="14.4" x14ac:dyDescent="0.3">
      <c r="E112"/>
      <c r="F112"/>
      <c r="G112"/>
      <c r="O112" s="112" t="s">
        <v>67</v>
      </c>
      <c r="P112" s="25" t="s">
        <v>65</v>
      </c>
      <c r="Q112" s="25" t="s">
        <v>62</v>
      </c>
      <c r="R112" s="25" t="s">
        <v>58</v>
      </c>
      <c r="S112" s="25">
        <v>613</v>
      </c>
      <c r="T112" s="25">
        <v>646</v>
      </c>
      <c r="U112" s="25">
        <v>711</v>
      </c>
      <c r="V112" s="25">
        <v>777</v>
      </c>
      <c r="W112" s="25">
        <v>850</v>
      </c>
      <c r="X112" s="25">
        <v>898</v>
      </c>
      <c r="Y112" s="25">
        <v>918</v>
      </c>
      <c r="Z112" s="25">
        <v>946</v>
      </c>
      <c r="AA112" s="25">
        <v>969</v>
      </c>
      <c r="AB112" s="68">
        <v>1019</v>
      </c>
      <c r="AC112" s="68">
        <v>1052</v>
      </c>
      <c r="AD112" s="68">
        <v>1119</v>
      </c>
      <c r="AE112" s="68">
        <v>1175</v>
      </c>
      <c r="AF112" s="68">
        <v>1195</v>
      </c>
      <c r="AG112" s="68">
        <v>1219</v>
      </c>
      <c r="AH112" s="68">
        <v>1308</v>
      </c>
      <c r="AI112" s="68">
        <v>1427</v>
      </c>
      <c r="AJ112" s="68">
        <v>1430</v>
      </c>
      <c r="AK112" s="68">
        <v>1471</v>
      </c>
      <c r="AL112" s="68">
        <v>1569</v>
      </c>
      <c r="AM112" s="68">
        <v>1706</v>
      </c>
      <c r="AN112" s="68">
        <v>1865</v>
      </c>
      <c r="AO112" s="68">
        <v>2007</v>
      </c>
      <c r="AP112" s="68">
        <v>2103</v>
      </c>
      <c r="AQ112" s="25">
        <f t="shared" si="11"/>
        <v>10518</v>
      </c>
      <c r="AR112" s="25">
        <f t="shared" si="12"/>
        <v>18475</v>
      </c>
      <c r="AS112" s="25">
        <f t="shared" si="13"/>
        <v>28993</v>
      </c>
      <c r="AU112"/>
      <c r="AV112"/>
    </row>
    <row r="113" spans="5:48" ht="14.4" x14ac:dyDescent="0.3">
      <c r="E113"/>
      <c r="F113"/>
      <c r="G113"/>
      <c r="O113" s="112" t="s">
        <v>67</v>
      </c>
      <c r="P113" s="25" t="s">
        <v>65</v>
      </c>
      <c r="Q113" s="25" t="s">
        <v>62</v>
      </c>
      <c r="R113" s="25" t="s">
        <v>59</v>
      </c>
      <c r="S113" s="25">
        <v>18</v>
      </c>
      <c r="T113" s="25">
        <v>19</v>
      </c>
      <c r="U113" s="25">
        <v>19</v>
      </c>
      <c r="V113" s="25">
        <v>20</v>
      </c>
      <c r="W113" s="25">
        <v>21</v>
      </c>
      <c r="X113" s="25">
        <v>23</v>
      </c>
      <c r="Y113" s="25">
        <v>24</v>
      </c>
      <c r="Z113" s="25">
        <v>24</v>
      </c>
      <c r="AA113" s="25">
        <v>26</v>
      </c>
      <c r="AB113" s="25">
        <v>26</v>
      </c>
      <c r="AC113" s="25">
        <v>26</v>
      </c>
      <c r="AD113" s="25">
        <v>27</v>
      </c>
      <c r="AE113" s="25">
        <v>30</v>
      </c>
      <c r="AF113" s="25">
        <v>30</v>
      </c>
      <c r="AG113" s="25">
        <v>32</v>
      </c>
      <c r="AH113" s="25">
        <v>32</v>
      </c>
      <c r="AI113" s="25">
        <v>33</v>
      </c>
      <c r="AJ113" s="25">
        <v>34</v>
      </c>
      <c r="AK113" s="25">
        <v>36</v>
      </c>
      <c r="AL113" s="25">
        <v>37</v>
      </c>
      <c r="AM113" s="25">
        <v>40</v>
      </c>
      <c r="AN113" s="25">
        <v>40</v>
      </c>
      <c r="AO113" s="25">
        <v>44</v>
      </c>
      <c r="AP113" s="25">
        <v>47</v>
      </c>
      <c r="AQ113" s="25">
        <f t="shared" si="11"/>
        <v>273</v>
      </c>
      <c r="AR113" s="25">
        <f t="shared" si="12"/>
        <v>435</v>
      </c>
      <c r="AS113" s="25">
        <f t="shared" si="13"/>
        <v>708</v>
      </c>
      <c r="AU113"/>
      <c r="AV113"/>
    </row>
    <row r="114" spans="5:48" ht="14.4" x14ac:dyDescent="0.3">
      <c r="E114"/>
      <c r="F114"/>
      <c r="G114"/>
      <c r="O114" s="112" t="s">
        <v>67</v>
      </c>
      <c r="P114" s="25" t="s">
        <v>65</v>
      </c>
      <c r="Q114" s="25" t="s">
        <v>62</v>
      </c>
      <c r="R114" s="25" t="s">
        <v>60</v>
      </c>
      <c r="S114" s="25">
        <v>83</v>
      </c>
      <c r="T114" s="25">
        <v>88</v>
      </c>
      <c r="U114" s="25">
        <v>94</v>
      </c>
      <c r="V114" s="25">
        <v>99</v>
      </c>
      <c r="W114" s="25">
        <v>103</v>
      </c>
      <c r="X114" s="25">
        <v>108</v>
      </c>
      <c r="Y114" s="25">
        <v>114</v>
      </c>
      <c r="Z114" s="25">
        <v>123</v>
      </c>
      <c r="AA114" s="25">
        <v>124</v>
      </c>
      <c r="AB114" s="25">
        <v>126</v>
      </c>
      <c r="AC114" s="25">
        <v>134</v>
      </c>
      <c r="AD114" s="25">
        <v>135</v>
      </c>
      <c r="AE114" s="25">
        <v>148</v>
      </c>
      <c r="AF114" s="25">
        <v>153</v>
      </c>
      <c r="AG114" s="25">
        <v>160</v>
      </c>
      <c r="AH114" s="25">
        <v>164</v>
      </c>
      <c r="AI114" s="25">
        <v>177</v>
      </c>
      <c r="AJ114" s="25">
        <v>188</v>
      </c>
      <c r="AK114" s="25">
        <v>203</v>
      </c>
      <c r="AL114" s="25">
        <v>206</v>
      </c>
      <c r="AM114" s="25">
        <v>214</v>
      </c>
      <c r="AN114" s="25">
        <v>217</v>
      </c>
      <c r="AO114" s="25">
        <v>224</v>
      </c>
      <c r="AP114" s="25">
        <v>235</v>
      </c>
      <c r="AQ114" s="25">
        <f t="shared" si="11"/>
        <v>1331</v>
      </c>
      <c r="AR114" s="25">
        <f t="shared" si="12"/>
        <v>2289</v>
      </c>
      <c r="AS114" s="25">
        <f t="shared" si="13"/>
        <v>3620</v>
      </c>
      <c r="AU114"/>
      <c r="AV114"/>
    </row>
    <row r="115" spans="5:48" ht="14.4" x14ac:dyDescent="0.3">
      <c r="E115"/>
      <c r="F115"/>
      <c r="G115"/>
      <c r="O115" s="112" t="s">
        <v>67</v>
      </c>
      <c r="P115" s="25" t="s">
        <v>65</v>
      </c>
      <c r="Q115" s="25" t="s">
        <v>62</v>
      </c>
      <c r="R115" s="25" t="s">
        <v>61</v>
      </c>
      <c r="S115" s="25">
        <v>949</v>
      </c>
      <c r="T115" s="68">
        <v>1031</v>
      </c>
      <c r="U115" s="68">
        <v>1092</v>
      </c>
      <c r="V115" s="68">
        <v>1098</v>
      </c>
      <c r="W115" s="68">
        <v>1152</v>
      </c>
      <c r="X115" s="68">
        <v>1219</v>
      </c>
      <c r="Y115" s="68">
        <v>1278</v>
      </c>
      <c r="Z115" s="68">
        <v>1391</v>
      </c>
      <c r="AA115" s="68">
        <v>1499</v>
      </c>
      <c r="AB115" s="68">
        <v>1506</v>
      </c>
      <c r="AC115" s="68">
        <v>1572</v>
      </c>
      <c r="AD115" s="68">
        <v>1576</v>
      </c>
      <c r="AE115" s="68">
        <v>1608</v>
      </c>
      <c r="AF115" s="68">
        <v>1668</v>
      </c>
      <c r="AG115" s="68">
        <v>1713</v>
      </c>
      <c r="AH115" s="68">
        <v>1802</v>
      </c>
      <c r="AI115" s="68">
        <v>1940</v>
      </c>
      <c r="AJ115" s="68">
        <v>2103</v>
      </c>
      <c r="AK115" s="68">
        <v>2237</v>
      </c>
      <c r="AL115" s="68">
        <v>2409</v>
      </c>
      <c r="AM115" s="68">
        <v>2568</v>
      </c>
      <c r="AN115" s="68">
        <v>2711</v>
      </c>
      <c r="AO115" s="68">
        <v>2803</v>
      </c>
      <c r="AP115" s="68">
        <v>3022</v>
      </c>
      <c r="AQ115" s="25">
        <f t="shared" si="11"/>
        <v>15363</v>
      </c>
      <c r="AR115" s="25">
        <f t="shared" si="12"/>
        <v>26584</v>
      </c>
      <c r="AS115" s="25">
        <f t="shared" si="13"/>
        <v>41947</v>
      </c>
      <c r="AU115"/>
      <c r="AV115"/>
    </row>
    <row r="116" spans="5:48" ht="14.4" x14ac:dyDescent="0.3">
      <c r="E116"/>
      <c r="F116"/>
      <c r="G116"/>
      <c r="O116" s="112" t="s">
        <v>67</v>
      </c>
      <c r="P116" s="25" t="s">
        <v>65</v>
      </c>
      <c r="Q116" s="25" t="s">
        <v>63</v>
      </c>
      <c r="R116" s="25" t="s">
        <v>58</v>
      </c>
      <c r="S116" s="25">
        <v>257</v>
      </c>
      <c r="T116" s="25">
        <v>262</v>
      </c>
      <c r="U116" s="25">
        <v>285</v>
      </c>
      <c r="V116" s="25">
        <v>303</v>
      </c>
      <c r="W116" s="25">
        <v>309</v>
      </c>
      <c r="X116" s="25">
        <v>314</v>
      </c>
      <c r="Y116" s="25">
        <v>326</v>
      </c>
      <c r="Z116" s="25">
        <v>345</v>
      </c>
      <c r="AA116" s="25">
        <v>365</v>
      </c>
      <c r="AB116" s="25">
        <v>395</v>
      </c>
      <c r="AC116" s="25">
        <v>398</v>
      </c>
      <c r="AD116" s="25">
        <v>436</v>
      </c>
      <c r="AE116" s="25">
        <v>439</v>
      </c>
      <c r="AF116" s="25">
        <v>470</v>
      </c>
      <c r="AG116" s="25">
        <v>477</v>
      </c>
      <c r="AH116" s="25">
        <v>508</v>
      </c>
      <c r="AI116" s="25">
        <v>512</v>
      </c>
      <c r="AJ116" s="25">
        <v>526</v>
      </c>
      <c r="AK116" s="25">
        <v>530</v>
      </c>
      <c r="AL116" s="25">
        <v>548</v>
      </c>
      <c r="AM116" s="25">
        <v>575</v>
      </c>
      <c r="AN116" s="25">
        <v>594</v>
      </c>
      <c r="AO116" s="25">
        <v>628</v>
      </c>
      <c r="AP116" s="25">
        <v>677</v>
      </c>
      <c r="AQ116" s="25">
        <f t="shared" si="11"/>
        <v>3995</v>
      </c>
      <c r="AR116" s="25">
        <f t="shared" si="12"/>
        <v>6484</v>
      </c>
      <c r="AS116" s="25">
        <f t="shared" si="13"/>
        <v>10479</v>
      </c>
      <c r="AU116"/>
      <c r="AV116"/>
    </row>
    <row r="117" spans="5:48" ht="14.4" x14ac:dyDescent="0.3">
      <c r="E117"/>
      <c r="F117"/>
      <c r="G117"/>
      <c r="O117" s="112" t="s">
        <v>67</v>
      </c>
      <c r="P117" s="25" t="s">
        <v>65</v>
      </c>
      <c r="Q117" s="25" t="s">
        <v>63</v>
      </c>
      <c r="R117" s="25" t="s">
        <v>59</v>
      </c>
      <c r="S117" s="25">
        <v>148</v>
      </c>
      <c r="T117" s="25">
        <v>153</v>
      </c>
      <c r="U117" s="25">
        <v>166</v>
      </c>
      <c r="V117" s="25">
        <v>181</v>
      </c>
      <c r="W117" s="25">
        <v>196</v>
      </c>
      <c r="X117" s="25">
        <v>202</v>
      </c>
      <c r="Y117" s="25">
        <v>206</v>
      </c>
      <c r="Z117" s="25">
        <v>225</v>
      </c>
      <c r="AA117" s="25">
        <v>226</v>
      </c>
      <c r="AB117" s="25">
        <v>247</v>
      </c>
      <c r="AC117" s="25">
        <v>266</v>
      </c>
      <c r="AD117" s="25">
        <v>277</v>
      </c>
      <c r="AE117" s="25">
        <v>279</v>
      </c>
      <c r="AF117" s="25">
        <v>305</v>
      </c>
      <c r="AG117" s="25">
        <v>311</v>
      </c>
      <c r="AH117" s="25">
        <v>325</v>
      </c>
      <c r="AI117" s="25">
        <v>353</v>
      </c>
      <c r="AJ117" s="25">
        <v>387</v>
      </c>
      <c r="AK117" s="25">
        <v>416</v>
      </c>
      <c r="AL117" s="25">
        <v>452</v>
      </c>
      <c r="AM117" s="25">
        <v>497</v>
      </c>
      <c r="AN117" s="25">
        <v>502</v>
      </c>
      <c r="AO117" s="25">
        <v>545</v>
      </c>
      <c r="AP117" s="25">
        <v>588</v>
      </c>
      <c r="AQ117" s="25">
        <f t="shared" si="11"/>
        <v>2493</v>
      </c>
      <c r="AR117" s="25">
        <f t="shared" si="12"/>
        <v>4960</v>
      </c>
      <c r="AS117" s="25">
        <f t="shared" si="13"/>
        <v>7453</v>
      </c>
      <c r="AU117"/>
      <c r="AV117"/>
    </row>
    <row r="118" spans="5:48" ht="14.4" x14ac:dyDescent="0.3">
      <c r="E118"/>
      <c r="F118"/>
      <c r="G118"/>
      <c r="O118" s="112" t="s">
        <v>67</v>
      </c>
      <c r="P118" s="25" t="s">
        <v>65</v>
      </c>
      <c r="Q118" s="25" t="s">
        <v>63</v>
      </c>
      <c r="R118" s="25" t="s">
        <v>60</v>
      </c>
      <c r="S118" s="25">
        <v>801</v>
      </c>
      <c r="T118" s="25">
        <v>860</v>
      </c>
      <c r="U118" s="25">
        <v>917</v>
      </c>
      <c r="V118" s="25">
        <v>996</v>
      </c>
      <c r="W118" s="68">
        <v>1019</v>
      </c>
      <c r="X118" s="68">
        <v>1064</v>
      </c>
      <c r="Y118" s="68">
        <v>1155</v>
      </c>
      <c r="Z118" s="68">
        <v>1157</v>
      </c>
      <c r="AA118" s="68">
        <v>1218</v>
      </c>
      <c r="AB118" s="68">
        <v>1332</v>
      </c>
      <c r="AC118" s="68">
        <v>1415</v>
      </c>
      <c r="AD118" s="68">
        <v>1551</v>
      </c>
      <c r="AE118" s="68">
        <v>1666</v>
      </c>
      <c r="AF118" s="68">
        <v>1807</v>
      </c>
      <c r="AG118" s="68">
        <v>1830</v>
      </c>
      <c r="AH118" s="68">
        <v>2006</v>
      </c>
      <c r="AI118" s="68">
        <v>2132</v>
      </c>
      <c r="AJ118" s="68">
        <v>2236</v>
      </c>
      <c r="AK118" s="68">
        <v>2285</v>
      </c>
      <c r="AL118" s="68">
        <v>2450</v>
      </c>
      <c r="AM118" s="68">
        <v>2560</v>
      </c>
      <c r="AN118" s="68">
        <v>2687</v>
      </c>
      <c r="AO118" s="68">
        <v>2870</v>
      </c>
      <c r="AP118" s="68">
        <v>3041</v>
      </c>
      <c r="AQ118" s="25">
        <f t="shared" si="11"/>
        <v>13485</v>
      </c>
      <c r="AR118" s="25">
        <f t="shared" si="12"/>
        <v>27570</v>
      </c>
      <c r="AS118" s="25">
        <f t="shared" si="13"/>
        <v>41055</v>
      </c>
      <c r="AU118"/>
      <c r="AV118"/>
    </row>
    <row r="119" spans="5:48" ht="14.4" x14ac:dyDescent="0.3">
      <c r="O119" s="112" t="s">
        <v>67</v>
      </c>
      <c r="P119" s="25" t="s">
        <v>65</v>
      </c>
      <c r="Q119" s="25" t="s">
        <v>63</v>
      </c>
      <c r="R119" s="25" t="s">
        <v>61</v>
      </c>
      <c r="S119" s="25">
        <v>689</v>
      </c>
      <c r="T119" s="25">
        <v>712</v>
      </c>
      <c r="U119" s="25">
        <v>745</v>
      </c>
      <c r="V119" s="25">
        <v>784</v>
      </c>
      <c r="W119" s="25">
        <v>801</v>
      </c>
      <c r="X119" s="25">
        <v>805</v>
      </c>
      <c r="Y119" s="25">
        <v>870</v>
      </c>
      <c r="Z119" s="25">
        <v>944</v>
      </c>
      <c r="AA119" s="25">
        <v>999</v>
      </c>
      <c r="AB119" s="68">
        <v>1014</v>
      </c>
      <c r="AC119" s="68">
        <v>1063</v>
      </c>
      <c r="AD119" s="68">
        <v>1123</v>
      </c>
      <c r="AE119" s="68">
        <v>1221</v>
      </c>
      <c r="AF119" s="68">
        <v>1274</v>
      </c>
      <c r="AG119" s="68">
        <v>1321</v>
      </c>
      <c r="AH119" s="68">
        <v>1400</v>
      </c>
      <c r="AI119" s="68">
        <v>1409</v>
      </c>
      <c r="AJ119" s="68">
        <v>1505</v>
      </c>
      <c r="AK119" s="68">
        <v>1555</v>
      </c>
      <c r="AL119" s="68">
        <v>1638</v>
      </c>
      <c r="AM119" s="68">
        <v>1647</v>
      </c>
      <c r="AN119" s="68">
        <v>1746</v>
      </c>
      <c r="AO119" s="68">
        <v>1815</v>
      </c>
      <c r="AP119" s="68">
        <v>1985</v>
      </c>
      <c r="AQ119" s="25">
        <f t="shared" si="11"/>
        <v>10549</v>
      </c>
      <c r="AR119" s="25">
        <f t="shared" si="12"/>
        <v>18516</v>
      </c>
      <c r="AS119" s="25">
        <f t="shared" si="13"/>
        <v>29065</v>
      </c>
      <c r="AU119"/>
      <c r="AV119"/>
    </row>
    <row r="120" spans="5:48" ht="14.4" x14ac:dyDescent="0.3">
      <c r="O120" s="112" t="s">
        <v>68</v>
      </c>
      <c r="P120" s="25" t="s">
        <v>56</v>
      </c>
      <c r="Q120" s="25" t="s">
        <v>57</v>
      </c>
      <c r="R120" s="25" t="s">
        <v>58</v>
      </c>
      <c r="S120" s="25">
        <v>679</v>
      </c>
      <c r="T120" s="25">
        <v>709</v>
      </c>
      <c r="U120" s="25">
        <v>723</v>
      </c>
      <c r="V120" s="25">
        <v>765</v>
      </c>
      <c r="W120" s="25">
        <v>840</v>
      </c>
      <c r="X120" s="25">
        <v>877</v>
      </c>
      <c r="Y120" s="25">
        <v>940</v>
      </c>
      <c r="Z120" s="68">
        <v>1018</v>
      </c>
      <c r="AA120" s="68">
        <v>1025</v>
      </c>
      <c r="AB120" s="68">
        <v>1111</v>
      </c>
      <c r="AC120" s="68">
        <v>1123</v>
      </c>
      <c r="AD120" s="68">
        <v>1173</v>
      </c>
      <c r="AE120" s="68">
        <v>1217</v>
      </c>
      <c r="AF120" s="68">
        <v>1231</v>
      </c>
      <c r="AG120" s="68">
        <v>1311</v>
      </c>
      <c r="AH120" s="68">
        <v>1413</v>
      </c>
      <c r="AI120" s="68">
        <v>1493</v>
      </c>
      <c r="AJ120" s="68">
        <v>1593</v>
      </c>
      <c r="AK120" s="68">
        <v>1726</v>
      </c>
      <c r="AL120" s="68">
        <v>1872</v>
      </c>
      <c r="AM120" s="68">
        <v>1940</v>
      </c>
      <c r="AN120" s="68">
        <v>1998</v>
      </c>
      <c r="AO120" s="68">
        <v>2102</v>
      </c>
      <c r="AP120" s="68">
        <v>2242</v>
      </c>
      <c r="AQ120" s="25">
        <f t="shared" si="11"/>
        <v>10983</v>
      </c>
      <c r="AR120" s="25">
        <f t="shared" si="12"/>
        <v>20138</v>
      </c>
      <c r="AS120" s="25">
        <f t="shared" si="13"/>
        <v>31121</v>
      </c>
      <c r="AU120"/>
      <c r="AV120"/>
    </row>
    <row r="121" spans="5:48" ht="14.4" x14ac:dyDescent="0.3">
      <c r="O121" s="112" t="s">
        <v>68</v>
      </c>
      <c r="P121" s="25" t="s">
        <v>56</v>
      </c>
      <c r="Q121" s="25" t="s">
        <v>57</v>
      </c>
      <c r="R121" s="25" t="s">
        <v>59</v>
      </c>
      <c r="S121" s="25">
        <v>949</v>
      </c>
      <c r="T121" s="68">
        <v>1037</v>
      </c>
      <c r="U121" s="68">
        <v>1106</v>
      </c>
      <c r="V121" s="68">
        <v>1164</v>
      </c>
      <c r="W121" s="68">
        <v>1181</v>
      </c>
      <c r="X121" s="68">
        <v>1221</v>
      </c>
      <c r="Y121" s="68">
        <v>1266</v>
      </c>
      <c r="Z121" s="68">
        <v>1328</v>
      </c>
      <c r="AA121" s="68">
        <v>1363</v>
      </c>
      <c r="AB121" s="68">
        <v>1450</v>
      </c>
      <c r="AC121" s="68">
        <v>1489</v>
      </c>
      <c r="AD121" s="68">
        <v>1627</v>
      </c>
      <c r="AE121" s="68">
        <v>1760</v>
      </c>
      <c r="AF121" s="68">
        <v>1829</v>
      </c>
      <c r="AG121" s="68">
        <v>1859</v>
      </c>
      <c r="AH121" s="68">
        <v>1961</v>
      </c>
      <c r="AI121" s="68">
        <v>2015</v>
      </c>
      <c r="AJ121" s="68">
        <v>2022</v>
      </c>
      <c r="AK121" s="68">
        <v>2026</v>
      </c>
      <c r="AL121" s="68">
        <v>2207</v>
      </c>
      <c r="AM121" s="68">
        <v>2316</v>
      </c>
      <c r="AN121" s="68">
        <v>2377</v>
      </c>
      <c r="AO121" s="68">
        <v>2610</v>
      </c>
      <c r="AP121" s="68">
        <v>2830</v>
      </c>
      <c r="AQ121" s="25">
        <f t="shared" si="11"/>
        <v>15181</v>
      </c>
      <c r="AR121" s="25">
        <f t="shared" si="12"/>
        <v>25812</v>
      </c>
      <c r="AS121" s="25">
        <f t="shared" si="13"/>
        <v>40993</v>
      </c>
      <c r="AU121"/>
      <c r="AV121"/>
    </row>
    <row r="122" spans="5:48" ht="14.4" x14ac:dyDescent="0.3">
      <c r="O122" s="112" t="s">
        <v>68</v>
      </c>
      <c r="P122" s="25" t="s">
        <v>56</v>
      </c>
      <c r="Q122" s="25" t="s">
        <v>57</v>
      </c>
      <c r="R122" s="25" t="s">
        <v>60</v>
      </c>
      <c r="S122" s="25">
        <v>699</v>
      </c>
      <c r="T122" s="25">
        <v>746</v>
      </c>
      <c r="U122" s="25">
        <v>776</v>
      </c>
      <c r="V122" s="25">
        <v>826</v>
      </c>
      <c r="W122" s="25">
        <v>863</v>
      </c>
      <c r="X122" s="25">
        <v>896</v>
      </c>
      <c r="Y122" s="25">
        <v>963</v>
      </c>
      <c r="Z122" s="68">
        <v>1033</v>
      </c>
      <c r="AA122" s="68">
        <v>1127</v>
      </c>
      <c r="AB122" s="68">
        <v>1166</v>
      </c>
      <c r="AC122" s="68">
        <v>1172</v>
      </c>
      <c r="AD122" s="68">
        <v>1215</v>
      </c>
      <c r="AE122" s="68">
        <v>1255</v>
      </c>
      <c r="AF122" s="68">
        <v>1345</v>
      </c>
      <c r="AG122" s="68">
        <v>1407</v>
      </c>
      <c r="AH122" s="68">
        <v>1496</v>
      </c>
      <c r="AI122" s="68">
        <v>1501</v>
      </c>
      <c r="AJ122" s="68">
        <v>1644</v>
      </c>
      <c r="AK122" s="68">
        <v>1707</v>
      </c>
      <c r="AL122" s="68">
        <v>1838</v>
      </c>
      <c r="AM122" s="68">
        <v>1876</v>
      </c>
      <c r="AN122" s="68">
        <v>2029</v>
      </c>
      <c r="AO122" s="68">
        <v>2209</v>
      </c>
      <c r="AP122" s="68">
        <v>2359</v>
      </c>
      <c r="AQ122" s="25">
        <f t="shared" si="11"/>
        <v>11482</v>
      </c>
      <c r="AR122" s="25">
        <f t="shared" si="12"/>
        <v>20666</v>
      </c>
      <c r="AS122" s="25">
        <f t="shared" si="13"/>
        <v>32148</v>
      </c>
      <c r="AU122"/>
      <c r="AV122"/>
    </row>
    <row r="123" spans="5:48" ht="14.4" x14ac:dyDescent="0.3">
      <c r="O123" s="112" t="s">
        <v>68</v>
      </c>
      <c r="P123" s="25" t="s">
        <v>56</v>
      </c>
      <c r="Q123" s="25" t="s">
        <v>57</v>
      </c>
      <c r="R123" s="25" t="s">
        <v>61</v>
      </c>
      <c r="S123" s="25">
        <v>548</v>
      </c>
      <c r="T123" s="25">
        <v>579</v>
      </c>
      <c r="U123" s="25">
        <v>590</v>
      </c>
      <c r="V123" s="25">
        <v>644</v>
      </c>
      <c r="W123" s="25">
        <v>706</v>
      </c>
      <c r="X123" s="25">
        <v>722</v>
      </c>
      <c r="Y123" s="25">
        <v>764</v>
      </c>
      <c r="Z123" s="25">
        <v>768</v>
      </c>
      <c r="AA123" s="25">
        <v>829</v>
      </c>
      <c r="AB123" s="25">
        <v>879</v>
      </c>
      <c r="AC123" s="25">
        <v>911</v>
      </c>
      <c r="AD123" s="25">
        <v>939</v>
      </c>
      <c r="AE123" s="25">
        <v>964</v>
      </c>
      <c r="AF123" s="25">
        <v>967</v>
      </c>
      <c r="AG123" s="68">
        <v>1057</v>
      </c>
      <c r="AH123" s="68">
        <v>1114</v>
      </c>
      <c r="AI123" s="68">
        <v>1158</v>
      </c>
      <c r="AJ123" s="68">
        <v>1265</v>
      </c>
      <c r="AK123" s="68">
        <v>1375</v>
      </c>
      <c r="AL123" s="68">
        <v>1432</v>
      </c>
      <c r="AM123" s="68">
        <v>1461</v>
      </c>
      <c r="AN123" s="68">
        <v>1554</v>
      </c>
      <c r="AO123" s="68">
        <v>1600</v>
      </c>
      <c r="AP123" s="68">
        <v>1607</v>
      </c>
      <c r="AQ123" s="25">
        <f t="shared" si="11"/>
        <v>8879</v>
      </c>
      <c r="AR123" s="25">
        <f t="shared" si="12"/>
        <v>15554</v>
      </c>
      <c r="AS123" s="25">
        <f t="shared" si="13"/>
        <v>24433</v>
      </c>
      <c r="AU123"/>
      <c r="AV123"/>
    </row>
    <row r="124" spans="5:48" ht="14.4" x14ac:dyDescent="0.3">
      <c r="O124" s="112" t="s">
        <v>68</v>
      </c>
      <c r="P124" s="25" t="s">
        <v>56</v>
      </c>
      <c r="Q124" s="25" t="s">
        <v>62</v>
      </c>
      <c r="R124" s="25" t="s">
        <v>58</v>
      </c>
      <c r="S124" s="25">
        <v>524</v>
      </c>
      <c r="T124" s="25">
        <v>553</v>
      </c>
      <c r="U124" s="25">
        <v>566</v>
      </c>
      <c r="V124" s="25">
        <v>573</v>
      </c>
      <c r="W124" s="25">
        <v>586</v>
      </c>
      <c r="X124" s="25">
        <v>603</v>
      </c>
      <c r="Y124" s="25">
        <v>614</v>
      </c>
      <c r="Z124" s="25">
        <v>621</v>
      </c>
      <c r="AA124" s="25">
        <v>623</v>
      </c>
      <c r="AB124" s="25">
        <v>661</v>
      </c>
      <c r="AC124" s="25">
        <v>713</v>
      </c>
      <c r="AD124" s="25">
        <v>774</v>
      </c>
      <c r="AE124" s="25">
        <v>779</v>
      </c>
      <c r="AF124" s="25">
        <v>849</v>
      </c>
      <c r="AG124" s="25">
        <v>894</v>
      </c>
      <c r="AH124" s="25">
        <v>960</v>
      </c>
      <c r="AI124" s="68">
        <v>1005</v>
      </c>
      <c r="AJ124" s="68">
        <v>1049</v>
      </c>
      <c r="AK124" s="68">
        <v>1109</v>
      </c>
      <c r="AL124" s="68">
        <v>1171</v>
      </c>
      <c r="AM124" s="68">
        <v>1186</v>
      </c>
      <c r="AN124" s="68">
        <v>1253</v>
      </c>
      <c r="AO124" s="68">
        <v>1356</v>
      </c>
      <c r="AP124" s="68">
        <v>1458</v>
      </c>
      <c r="AQ124" s="25">
        <f t="shared" si="11"/>
        <v>7411</v>
      </c>
      <c r="AR124" s="25">
        <f t="shared" si="12"/>
        <v>13069</v>
      </c>
      <c r="AS124" s="25">
        <f t="shared" si="13"/>
        <v>20480</v>
      </c>
      <c r="AU124"/>
      <c r="AV124"/>
    </row>
    <row r="125" spans="5:48" ht="14.4" x14ac:dyDescent="0.3">
      <c r="O125" s="112" t="s">
        <v>68</v>
      </c>
      <c r="P125" s="25" t="s">
        <v>56</v>
      </c>
      <c r="Q125" s="25" t="s">
        <v>62</v>
      </c>
      <c r="R125" s="25" t="s">
        <v>59</v>
      </c>
      <c r="S125" s="25">
        <v>872</v>
      </c>
      <c r="T125" s="25">
        <v>876</v>
      </c>
      <c r="U125" s="25">
        <v>916</v>
      </c>
      <c r="V125" s="25">
        <v>922</v>
      </c>
      <c r="W125" s="25">
        <v>968</v>
      </c>
      <c r="X125" s="25">
        <v>996</v>
      </c>
      <c r="Y125" s="68">
        <v>1006</v>
      </c>
      <c r="Z125" s="68">
        <v>1057</v>
      </c>
      <c r="AA125" s="68">
        <v>1086</v>
      </c>
      <c r="AB125" s="68">
        <v>1145</v>
      </c>
      <c r="AC125" s="68">
        <v>1223</v>
      </c>
      <c r="AD125" s="68">
        <v>1285</v>
      </c>
      <c r="AE125" s="68">
        <v>1401</v>
      </c>
      <c r="AF125" s="68">
        <v>1418</v>
      </c>
      <c r="AG125" s="68">
        <v>1549</v>
      </c>
      <c r="AH125" s="68">
        <v>1645</v>
      </c>
      <c r="AI125" s="68">
        <v>1771</v>
      </c>
      <c r="AJ125" s="68">
        <v>1826</v>
      </c>
      <c r="AK125" s="68">
        <v>1925</v>
      </c>
      <c r="AL125" s="68">
        <v>2039</v>
      </c>
      <c r="AM125" s="68">
        <v>2241</v>
      </c>
      <c r="AN125" s="68">
        <v>2292</v>
      </c>
      <c r="AO125" s="68">
        <v>2497</v>
      </c>
      <c r="AP125" s="68">
        <v>2547</v>
      </c>
      <c r="AQ125" s="25">
        <f t="shared" si="11"/>
        <v>12352</v>
      </c>
      <c r="AR125" s="25">
        <f t="shared" si="12"/>
        <v>23151</v>
      </c>
      <c r="AS125" s="25">
        <f t="shared" si="13"/>
        <v>35503</v>
      </c>
      <c r="AU125"/>
      <c r="AV125"/>
    </row>
    <row r="126" spans="5:48" ht="14.4" x14ac:dyDescent="0.3">
      <c r="O126" s="112" t="s">
        <v>68</v>
      </c>
      <c r="P126" s="25" t="s">
        <v>56</v>
      </c>
      <c r="Q126" s="25" t="s">
        <v>62</v>
      </c>
      <c r="R126" s="25" t="s">
        <v>60</v>
      </c>
      <c r="S126" s="25">
        <v>496</v>
      </c>
      <c r="T126" s="25">
        <v>536</v>
      </c>
      <c r="U126" s="25">
        <v>550</v>
      </c>
      <c r="V126" s="25">
        <v>554</v>
      </c>
      <c r="W126" s="25">
        <v>564</v>
      </c>
      <c r="X126" s="25">
        <v>579</v>
      </c>
      <c r="Y126" s="25">
        <v>625</v>
      </c>
      <c r="Z126" s="25">
        <v>656</v>
      </c>
      <c r="AA126" s="25">
        <v>659</v>
      </c>
      <c r="AB126" s="25">
        <v>676</v>
      </c>
      <c r="AC126" s="25">
        <v>711</v>
      </c>
      <c r="AD126" s="25">
        <v>771</v>
      </c>
      <c r="AE126" s="25">
        <v>808</v>
      </c>
      <c r="AF126" s="25">
        <v>861</v>
      </c>
      <c r="AG126" s="25">
        <v>922</v>
      </c>
      <c r="AH126" s="25">
        <v>985</v>
      </c>
      <c r="AI126" s="25">
        <v>995</v>
      </c>
      <c r="AJ126" s="68">
        <v>1049</v>
      </c>
      <c r="AK126" s="68">
        <v>1090</v>
      </c>
      <c r="AL126" s="68">
        <v>1114</v>
      </c>
      <c r="AM126" s="68">
        <v>1152</v>
      </c>
      <c r="AN126" s="68">
        <v>1178</v>
      </c>
      <c r="AO126" s="68">
        <v>1188</v>
      </c>
      <c r="AP126" s="68">
        <v>1206</v>
      </c>
      <c r="AQ126" s="25">
        <f t="shared" si="11"/>
        <v>7377</v>
      </c>
      <c r="AR126" s="25">
        <f t="shared" si="12"/>
        <v>12548</v>
      </c>
      <c r="AS126" s="25">
        <f t="shared" si="13"/>
        <v>19925</v>
      </c>
      <c r="AU126"/>
      <c r="AV126"/>
    </row>
    <row r="127" spans="5:48" ht="14.4" x14ac:dyDescent="0.3">
      <c r="O127" s="112" t="s">
        <v>68</v>
      </c>
      <c r="P127" s="25" t="s">
        <v>56</v>
      </c>
      <c r="Q127" s="25" t="s">
        <v>62</v>
      </c>
      <c r="R127" s="25" t="s">
        <v>61</v>
      </c>
      <c r="S127" s="25">
        <v>574</v>
      </c>
      <c r="T127" s="25">
        <v>629</v>
      </c>
      <c r="U127" s="25">
        <v>638</v>
      </c>
      <c r="V127" s="25">
        <v>660</v>
      </c>
      <c r="W127" s="25">
        <v>695</v>
      </c>
      <c r="X127" s="25">
        <v>757</v>
      </c>
      <c r="Y127" s="25">
        <v>774</v>
      </c>
      <c r="Z127" s="25">
        <v>846</v>
      </c>
      <c r="AA127" s="25">
        <v>882</v>
      </c>
      <c r="AB127" s="25">
        <v>898</v>
      </c>
      <c r="AC127" s="25">
        <v>986</v>
      </c>
      <c r="AD127" s="68">
        <v>1030</v>
      </c>
      <c r="AE127" s="68">
        <v>1100</v>
      </c>
      <c r="AF127" s="68">
        <v>1159</v>
      </c>
      <c r="AG127" s="68">
        <v>1223</v>
      </c>
      <c r="AH127" s="68">
        <v>1305</v>
      </c>
      <c r="AI127" s="68">
        <v>1387</v>
      </c>
      <c r="AJ127" s="68">
        <v>1395</v>
      </c>
      <c r="AK127" s="68">
        <v>1492</v>
      </c>
      <c r="AL127" s="68">
        <v>1565</v>
      </c>
      <c r="AM127" s="68">
        <v>1648</v>
      </c>
      <c r="AN127" s="68">
        <v>1693</v>
      </c>
      <c r="AO127" s="68">
        <v>1822</v>
      </c>
      <c r="AP127" s="68">
        <v>1949</v>
      </c>
      <c r="AQ127" s="25">
        <f t="shared" si="11"/>
        <v>9369</v>
      </c>
      <c r="AR127" s="25">
        <f t="shared" si="12"/>
        <v>17738</v>
      </c>
      <c r="AS127" s="25">
        <f t="shared" si="13"/>
        <v>27107</v>
      </c>
      <c r="AU127"/>
      <c r="AV127"/>
    </row>
    <row r="128" spans="5:48" ht="14.4" x14ac:dyDescent="0.3">
      <c r="O128" s="112" t="s">
        <v>68</v>
      </c>
      <c r="P128" s="25" t="s">
        <v>56</v>
      </c>
      <c r="Q128" s="25" t="s">
        <v>63</v>
      </c>
      <c r="R128" s="25" t="s">
        <v>58</v>
      </c>
      <c r="S128" s="25">
        <v>877</v>
      </c>
      <c r="T128" s="25">
        <v>923</v>
      </c>
      <c r="U128" s="25">
        <v>957</v>
      </c>
      <c r="V128" s="25">
        <v>982</v>
      </c>
      <c r="W128" s="68">
        <v>1050</v>
      </c>
      <c r="X128" s="68">
        <v>1073</v>
      </c>
      <c r="Y128" s="68">
        <v>1174</v>
      </c>
      <c r="Z128" s="68">
        <v>1225</v>
      </c>
      <c r="AA128" s="68">
        <v>1345</v>
      </c>
      <c r="AB128" s="68">
        <v>1394</v>
      </c>
      <c r="AC128" s="68">
        <v>1525</v>
      </c>
      <c r="AD128" s="68">
        <v>1528</v>
      </c>
      <c r="AE128" s="68">
        <v>1607</v>
      </c>
      <c r="AF128" s="68">
        <v>1748</v>
      </c>
      <c r="AG128" s="68">
        <v>1879</v>
      </c>
      <c r="AH128" s="68">
        <v>2036</v>
      </c>
      <c r="AI128" s="68">
        <v>2234</v>
      </c>
      <c r="AJ128" s="68">
        <v>2258</v>
      </c>
      <c r="AK128" s="68">
        <v>2457</v>
      </c>
      <c r="AL128" s="68">
        <v>2600</v>
      </c>
      <c r="AM128" s="68">
        <v>2797</v>
      </c>
      <c r="AN128" s="68">
        <v>2833</v>
      </c>
      <c r="AO128" s="68">
        <v>2887</v>
      </c>
      <c r="AP128" s="68">
        <v>2983</v>
      </c>
      <c r="AQ128" s="25">
        <f t="shared" si="11"/>
        <v>14053</v>
      </c>
      <c r="AR128" s="25">
        <f t="shared" si="12"/>
        <v>28319</v>
      </c>
      <c r="AS128" s="25">
        <f t="shared" si="13"/>
        <v>42372</v>
      </c>
      <c r="AU128"/>
      <c r="AV128"/>
    </row>
    <row r="129" spans="15:48" ht="14.4" x14ac:dyDescent="0.3">
      <c r="O129" s="112" t="s">
        <v>68</v>
      </c>
      <c r="P129" s="25" t="s">
        <v>56</v>
      </c>
      <c r="Q129" s="25" t="s">
        <v>63</v>
      </c>
      <c r="R129" s="25" t="s">
        <v>59</v>
      </c>
      <c r="S129" s="25">
        <v>100</v>
      </c>
      <c r="T129" s="25">
        <v>109</v>
      </c>
      <c r="U129" s="25">
        <v>118</v>
      </c>
      <c r="V129" s="25">
        <v>121</v>
      </c>
      <c r="W129" s="25">
        <v>122</v>
      </c>
      <c r="X129" s="25">
        <v>132</v>
      </c>
      <c r="Y129" s="25">
        <v>137</v>
      </c>
      <c r="Z129" s="25">
        <v>139</v>
      </c>
      <c r="AA129" s="25">
        <v>141</v>
      </c>
      <c r="AB129" s="25">
        <v>146</v>
      </c>
      <c r="AC129" s="25">
        <v>159</v>
      </c>
      <c r="AD129" s="25">
        <v>164</v>
      </c>
      <c r="AE129" s="25">
        <v>169</v>
      </c>
      <c r="AF129" s="25">
        <v>183</v>
      </c>
      <c r="AG129" s="25">
        <v>190</v>
      </c>
      <c r="AH129" s="25">
        <v>207</v>
      </c>
      <c r="AI129" s="25">
        <v>213</v>
      </c>
      <c r="AJ129" s="25">
        <v>226</v>
      </c>
      <c r="AK129" s="25">
        <v>245</v>
      </c>
      <c r="AL129" s="25">
        <v>270</v>
      </c>
      <c r="AM129" s="25">
        <v>292</v>
      </c>
      <c r="AN129" s="25">
        <v>311</v>
      </c>
      <c r="AO129" s="25">
        <v>328</v>
      </c>
      <c r="AP129" s="25">
        <v>347</v>
      </c>
      <c r="AQ129" s="25">
        <f t="shared" si="11"/>
        <v>1588</v>
      </c>
      <c r="AR129" s="25">
        <f t="shared" si="12"/>
        <v>2981</v>
      </c>
      <c r="AS129" s="25">
        <f t="shared" si="13"/>
        <v>4569</v>
      </c>
      <c r="AU129"/>
      <c r="AV129"/>
    </row>
    <row r="130" spans="15:48" ht="14.4" x14ac:dyDescent="0.3">
      <c r="O130" s="112" t="s">
        <v>68</v>
      </c>
      <c r="P130" s="25" t="s">
        <v>56</v>
      </c>
      <c r="Q130" s="25" t="s">
        <v>63</v>
      </c>
      <c r="R130" s="25" t="s">
        <v>60</v>
      </c>
      <c r="S130" s="25">
        <v>466</v>
      </c>
      <c r="T130" s="25">
        <v>506</v>
      </c>
      <c r="U130" s="25">
        <v>551</v>
      </c>
      <c r="V130" s="25">
        <v>555</v>
      </c>
      <c r="W130" s="25">
        <v>608</v>
      </c>
      <c r="X130" s="25">
        <v>665</v>
      </c>
      <c r="Y130" s="25">
        <v>670</v>
      </c>
      <c r="Z130" s="25">
        <v>716</v>
      </c>
      <c r="AA130" s="25">
        <v>733</v>
      </c>
      <c r="AB130" s="25">
        <v>782</v>
      </c>
      <c r="AC130" s="25">
        <v>808</v>
      </c>
      <c r="AD130" s="25">
        <v>812</v>
      </c>
      <c r="AE130" s="25">
        <v>840</v>
      </c>
      <c r="AF130" s="25">
        <v>850</v>
      </c>
      <c r="AG130" s="25">
        <v>925</v>
      </c>
      <c r="AH130" s="68">
        <v>1016</v>
      </c>
      <c r="AI130" s="68">
        <v>1106</v>
      </c>
      <c r="AJ130" s="68">
        <v>1141</v>
      </c>
      <c r="AK130" s="68">
        <v>1194</v>
      </c>
      <c r="AL130" s="68">
        <v>1235</v>
      </c>
      <c r="AM130" s="68">
        <v>1300</v>
      </c>
      <c r="AN130" s="68">
        <v>1358</v>
      </c>
      <c r="AO130" s="68">
        <v>1464</v>
      </c>
      <c r="AP130" s="68">
        <v>1507</v>
      </c>
      <c r="AQ130" s="25">
        <f t="shared" si="11"/>
        <v>7872</v>
      </c>
      <c r="AR130" s="25">
        <f t="shared" si="12"/>
        <v>13936</v>
      </c>
      <c r="AS130" s="25">
        <f t="shared" si="13"/>
        <v>21808</v>
      </c>
      <c r="AU130"/>
      <c r="AV130"/>
    </row>
    <row r="131" spans="15:48" ht="14.4" x14ac:dyDescent="0.3">
      <c r="O131" s="112" t="s">
        <v>68</v>
      </c>
      <c r="P131" s="25" t="s">
        <v>56</v>
      </c>
      <c r="Q131" s="25" t="s">
        <v>63</v>
      </c>
      <c r="R131" s="25" t="s">
        <v>61</v>
      </c>
      <c r="S131" s="25">
        <v>391</v>
      </c>
      <c r="T131" s="25">
        <v>393</v>
      </c>
      <c r="U131" s="25">
        <v>426</v>
      </c>
      <c r="V131" s="25">
        <v>427</v>
      </c>
      <c r="W131" s="25">
        <v>449</v>
      </c>
      <c r="X131" s="25">
        <v>480</v>
      </c>
      <c r="Y131" s="25">
        <v>483</v>
      </c>
      <c r="Z131" s="25">
        <v>531</v>
      </c>
      <c r="AA131" s="25">
        <v>564</v>
      </c>
      <c r="AB131" s="25">
        <v>590</v>
      </c>
      <c r="AC131" s="25">
        <v>649</v>
      </c>
      <c r="AD131" s="25">
        <v>696</v>
      </c>
      <c r="AE131" s="25">
        <v>726</v>
      </c>
      <c r="AF131" s="25">
        <v>786</v>
      </c>
      <c r="AG131" s="25">
        <v>863</v>
      </c>
      <c r="AH131" s="25">
        <v>922</v>
      </c>
      <c r="AI131" s="25">
        <v>927</v>
      </c>
      <c r="AJ131" s="25">
        <v>956</v>
      </c>
      <c r="AK131" s="25">
        <v>961</v>
      </c>
      <c r="AL131" s="25">
        <v>995</v>
      </c>
      <c r="AM131" s="68">
        <v>1086</v>
      </c>
      <c r="AN131" s="68">
        <v>1128</v>
      </c>
      <c r="AO131" s="68">
        <v>1237</v>
      </c>
      <c r="AP131" s="68">
        <v>1266</v>
      </c>
      <c r="AQ131" s="25">
        <f t="shared" si="11"/>
        <v>6079</v>
      </c>
      <c r="AR131" s="25">
        <f t="shared" si="12"/>
        <v>11853</v>
      </c>
      <c r="AS131" s="25">
        <f t="shared" si="13"/>
        <v>17932</v>
      </c>
      <c r="AU131"/>
      <c r="AV131"/>
    </row>
    <row r="132" spans="15:48" ht="14.4" x14ac:dyDescent="0.3">
      <c r="O132" s="112" t="s">
        <v>68</v>
      </c>
      <c r="P132" s="25" t="s">
        <v>64</v>
      </c>
      <c r="Q132" s="25" t="s">
        <v>57</v>
      </c>
      <c r="R132" s="25" t="s">
        <v>58</v>
      </c>
      <c r="S132" s="25">
        <v>478</v>
      </c>
      <c r="T132" s="25">
        <v>491</v>
      </c>
      <c r="U132" s="25">
        <v>511</v>
      </c>
      <c r="V132" s="25">
        <v>512</v>
      </c>
      <c r="W132" s="25">
        <v>533</v>
      </c>
      <c r="X132" s="25">
        <v>553</v>
      </c>
      <c r="Y132" s="25">
        <v>556</v>
      </c>
      <c r="Z132" s="25">
        <v>587</v>
      </c>
      <c r="AA132" s="25">
        <v>617</v>
      </c>
      <c r="AB132" s="25">
        <v>662</v>
      </c>
      <c r="AC132" s="25">
        <v>711</v>
      </c>
      <c r="AD132" s="25">
        <v>724</v>
      </c>
      <c r="AE132" s="25">
        <v>795</v>
      </c>
      <c r="AF132" s="25">
        <v>866</v>
      </c>
      <c r="AG132" s="25">
        <v>920</v>
      </c>
      <c r="AH132" s="25">
        <v>974</v>
      </c>
      <c r="AI132" s="68">
        <v>1005</v>
      </c>
      <c r="AJ132" s="68">
        <v>1079</v>
      </c>
      <c r="AK132" s="68">
        <v>1091</v>
      </c>
      <c r="AL132" s="68">
        <v>1134</v>
      </c>
      <c r="AM132" s="68">
        <v>1235</v>
      </c>
      <c r="AN132" s="68">
        <v>1335</v>
      </c>
      <c r="AO132" s="68">
        <v>1378</v>
      </c>
      <c r="AP132" s="68">
        <v>1381</v>
      </c>
      <c r="AQ132" s="25">
        <f t="shared" si="11"/>
        <v>6935</v>
      </c>
      <c r="AR132" s="25">
        <f t="shared" si="12"/>
        <v>13193</v>
      </c>
      <c r="AS132" s="25">
        <f t="shared" si="13"/>
        <v>20128</v>
      </c>
      <c r="AU132"/>
      <c r="AV132"/>
    </row>
    <row r="133" spans="15:48" ht="14.4" x14ac:dyDescent="0.3">
      <c r="O133" s="112" t="s">
        <v>68</v>
      </c>
      <c r="P133" s="25" t="s">
        <v>64</v>
      </c>
      <c r="Q133" s="25" t="s">
        <v>57</v>
      </c>
      <c r="R133" s="25" t="s">
        <v>59</v>
      </c>
      <c r="S133" s="25">
        <v>955</v>
      </c>
      <c r="T133" s="25">
        <v>990</v>
      </c>
      <c r="U133" s="25">
        <v>993</v>
      </c>
      <c r="V133" s="68">
        <v>1006</v>
      </c>
      <c r="W133" s="68">
        <v>1009</v>
      </c>
      <c r="X133" s="68">
        <v>1015</v>
      </c>
      <c r="Y133" s="68">
        <v>1090</v>
      </c>
      <c r="Z133" s="68">
        <v>1188</v>
      </c>
      <c r="AA133" s="68">
        <v>1212</v>
      </c>
      <c r="AB133" s="68">
        <v>1254</v>
      </c>
      <c r="AC133" s="68">
        <v>1337</v>
      </c>
      <c r="AD133" s="68">
        <v>1421</v>
      </c>
      <c r="AE133" s="68">
        <v>1490</v>
      </c>
      <c r="AF133" s="68">
        <v>1615</v>
      </c>
      <c r="AG133" s="68">
        <v>1662</v>
      </c>
      <c r="AH133" s="68">
        <v>1708</v>
      </c>
      <c r="AI133" s="68">
        <v>1738</v>
      </c>
      <c r="AJ133" s="68">
        <v>1755</v>
      </c>
      <c r="AK133" s="68">
        <v>1797</v>
      </c>
      <c r="AL133" s="68">
        <v>1944</v>
      </c>
      <c r="AM133" s="68">
        <v>1963</v>
      </c>
      <c r="AN133" s="68">
        <v>2021</v>
      </c>
      <c r="AO133" s="68">
        <v>2102</v>
      </c>
      <c r="AP133" s="68">
        <v>2246</v>
      </c>
      <c r="AQ133" s="25">
        <f t="shared" si="11"/>
        <v>13470</v>
      </c>
      <c r="AR133" s="25">
        <f t="shared" si="12"/>
        <v>22041</v>
      </c>
      <c r="AS133" s="25">
        <f t="shared" si="13"/>
        <v>35511</v>
      </c>
      <c r="AU133"/>
      <c r="AV133"/>
    </row>
    <row r="134" spans="15:48" ht="14.4" x14ac:dyDescent="0.3">
      <c r="O134" s="112" t="s">
        <v>68</v>
      </c>
      <c r="P134" s="25" t="s">
        <v>64</v>
      </c>
      <c r="Q134" s="25" t="s">
        <v>57</v>
      </c>
      <c r="R134" s="25" t="s">
        <v>60</v>
      </c>
      <c r="S134" s="25">
        <v>167</v>
      </c>
      <c r="T134" s="25">
        <v>178</v>
      </c>
      <c r="U134" s="25">
        <v>189</v>
      </c>
      <c r="V134" s="25">
        <v>198</v>
      </c>
      <c r="W134" s="25">
        <v>201</v>
      </c>
      <c r="X134" s="25">
        <v>203</v>
      </c>
      <c r="Y134" s="25">
        <v>219</v>
      </c>
      <c r="Z134" s="25">
        <v>224</v>
      </c>
      <c r="AA134" s="25">
        <v>236</v>
      </c>
      <c r="AB134" s="25">
        <v>253</v>
      </c>
      <c r="AC134" s="25">
        <v>258</v>
      </c>
      <c r="AD134" s="25">
        <v>282</v>
      </c>
      <c r="AE134" s="25">
        <v>290</v>
      </c>
      <c r="AF134" s="25">
        <v>316</v>
      </c>
      <c r="AG134" s="25">
        <v>336</v>
      </c>
      <c r="AH134" s="25">
        <v>347</v>
      </c>
      <c r="AI134" s="25">
        <v>376</v>
      </c>
      <c r="AJ134" s="25">
        <v>410</v>
      </c>
      <c r="AK134" s="25">
        <v>443</v>
      </c>
      <c r="AL134" s="25">
        <v>477</v>
      </c>
      <c r="AM134" s="25">
        <v>507</v>
      </c>
      <c r="AN134" s="25">
        <v>512</v>
      </c>
      <c r="AO134" s="25">
        <v>539</v>
      </c>
      <c r="AP134" s="25">
        <v>568</v>
      </c>
      <c r="AQ134" s="25">
        <f t="shared" si="11"/>
        <v>2608</v>
      </c>
      <c r="AR134" s="25">
        <f t="shared" si="12"/>
        <v>5121</v>
      </c>
      <c r="AS134" s="25">
        <f t="shared" si="13"/>
        <v>7729</v>
      </c>
      <c r="AU134"/>
      <c r="AV134"/>
    </row>
    <row r="135" spans="15:48" ht="14.4" x14ac:dyDescent="0.3">
      <c r="O135" s="112" t="s">
        <v>68</v>
      </c>
      <c r="P135" s="25" t="s">
        <v>64</v>
      </c>
      <c r="Q135" s="25" t="s">
        <v>57</v>
      </c>
      <c r="R135" s="25" t="s">
        <v>61</v>
      </c>
      <c r="S135" s="25">
        <v>982</v>
      </c>
      <c r="T135" s="68">
        <v>1010</v>
      </c>
      <c r="U135" s="68">
        <v>1063</v>
      </c>
      <c r="V135" s="68">
        <v>1073</v>
      </c>
      <c r="W135" s="68">
        <v>1080</v>
      </c>
      <c r="X135" s="68">
        <v>1159</v>
      </c>
      <c r="Y135" s="68">
        <v>1224</v>
      </c>
      <c r="Z135" s="68">
        <v>1234</v>
      </c>
      <c r="AA135" s="68">
        <v>1267</v>
      </c>
      <c r="AB135" s="68">
        <v>1304</v>
      </c>
      <c r="AC135" s="68">
        <v>1337</v>
      </c>
      <c r="AD135" s="68">
        <v>1374</v>
      </c>
      <c r="AE135" s="68">
        <v>1422</v>
      </c>
      <c r="AF135" s="68">
        <v>1424</v>
      </c>
      <c r="AG135" s="68">
        <v>1455</v>
      </c>
      <c r="AH135" s="68">
        <v>1509</v>
      </c>
      <c r="AI135" s="68">
        <v>1598</v>
      </c>
      <c r="AJ135" s="68">
        <v>1680</v>
      </c>
      <c r="AK135" s="68">
        <v>1835</v>
      </c>
      <c r="AL135" s="68">
        <v>1895</v>
      </c>
      <c r="AM135" s="68">
        <v>1978</v>
      </c>
      <c r="AN135" s="68">
        <v>1980</v>
      </c>
      <c r="AO135" s="68">
        <v>2130</v>
      </c>
      <c r="AP135" s="68">
        <v>2204</v>
      </c>
      <c r="AQ135" s="25">
        <f t="shared" si="11"/>
        <v>14107</v>
      </c>
      <c r="AR135" s="25">
        <f t="shared" si="12"/>
        <v>21110</v>
      </c>
      <c r="AS135" s="25">
        <f t="shared" si="13"/>
        <v>35217</v>
      </c>
      <c r="AU135"/>
      <c r="AV135"/>
    </row>
    <row r="136" spans="15:48" ht="14.4" x14ac:dyDescent="0.3">
      <c r="O136" s="112" t="s">
        <v>68</v>
      </c>
      <c r="P136" s="25" t="s">
        <v>64</v>
      </c>
      <c r="Q136" s="25" t="s">
        <v>62</v>
      </c>
      <c r="R136" s="25" t="s">
        <v>58</v>
      </c>
      <c r="S136" s="25">
        <v>412</v>
      </c>
      <c r="T136" s="25">
        <v>429</v>
      </c>
      <c r="U136" s="25">
        <v>431</v>
      </c>
      <c r="V136" s="25">
        <v>447</v>
      </c>
      <c r="W136" s="25">
        <v>458</v>
      </c>
      <c r="X136" s="25">
        <v>496</v>
      </c>
      <c r="Y136" s="25">
        <v>505</v>
      </c>
      <c r="Z136" s="25">
        <v>542</v>
      </c>
      <c r="AA136" s="25">
        <v>576</v>
      </c>
      <c r="AB136" s="25">
        <v>617</v>
      </c>
      <c r="AC136" s="25">
        <v>637</v>
      </c>
      <c r="AD136" s="25">
        <v>644</v>
      </c>
      <c r="AE136" s="25">
        <v>677</v>
      </c>
      <c r="AF136" s="25">
        <v>721</v>
      </c>
      <c r="AG136" s="25">
        <v>787</v>
      </c>
      <c r="AH136" s="25">
        <v>796</v>
      </c>
      <c r="AI136" s="25">
        <v>853</v>
      </c>
      <c r="AJ136" s="25">
        <v>903</v>
      </c>
      <c r="AK136" s="25">
        <v>946</v>
      </c>
      <c r="AL136" s="25">
        <v>982</v>
      </c>
      <c r="AM136" s="68">
        <v>1076</v>
      </c>
      <c r="AN136" s="68">
        <v>1078</v>
      </c>
      <c r="AO136" s="68">
        <v>1183</v>
      </c>
      <c r="AP136" s="68">
        <v>1292</v>
      </c>
      <c r="AQ136" s="25">
        <f t="shared" si="11"/>
        <v>6194</v>
      </c>
      <c r="AR136" s="25">
        <f t="shared" si="12"/>
        <v>11294</v>
      </c>
      <c r="AS136" s="25">
        <f t="shared" si="13"/>
        <v>17488</v>
      </c>
      <c r="AU136"/>
      <c r="AV136"/>
    </row>
    <row r="137" spans="15:48" ht="14.4" x14ac:dyDescent="0.3">
      <c r="O137" s="112" t="s">
        <v>68</v>
      </c>
      <c r="P137" s="25" t="s">
        <v>64</v>
      </c>
      <c r="Q137" s="25" t="s">
        <v>62</v>
      </c>
      <c r="R137" s="25" t="s">
        <v>59</v>
      </c>
      <c r="S137" s="25">
        <v>869</v>
      </c>
      <c r="T137" s="25">
        <v>927</v>
      </c>
      <c r="U137" s="25">
        <v>948</v>
      </c>
      <c r="V137" s="25">
        <v>983</v>
      </c>
      <c r="W137" s="68">
        <v>1010</v>
      </c>
      <c r="X137" s="68">
        <v>1029</v>
      </c>
      <c r="Y137" s="68">
        <v>1050</v>
      </c>
      <c r="Z137" s="68">
        <v>1147</v>
      </c>
      <c r="AA137" s="68">
        <v>1231</v>
      </c>
      <c r="AB137" s="68">
        <v>1266</v>
      </c>
      <c r="AC137" s="68">
        <v>1359</v>
      </c>
      <c r="AD137" s="68">
        <v>1448</v>
      </c>
      <c r="AE137" s="68">
        <v>1492</v>
      </c>
      <c r="AF137" s="68">
        <v>1529</v>
      </c>
      <c r="AG137" s="68">
        <v>1671</v>
      </c>
      <c r="AH137" s="68">
        <v>1766</v>
      </c>
      <c r="AI137" s="68">
        <v>1803</v>
      </c>
      <c r="AJ137" s="68">
        <v>1813</v>
      </c>
      <c r="AK137" s="68">
        <v>1836</v>
      </c>
      <c r="AL137" s="68">
        <v>1901</v>
      </c>
      <c r="AM137" s="68">
        <v>2010</v>
      </c>
      <c r="AN137" s="68">
        <v>2095</v>
      </c>
      <c r="AO137" s="68">
        <v>2286</v>
      </c>
      <c r="AP137" s="68">
        <v>2332</v>
      </c>
      <c r="AQ137" s="25">
        <f t="shared" si="11"/>
        <v>13267</v>
      </c>
      <c r="AR137" s="25">
        <f t="shared" si="12"/>
        <v>22534</v>
      </c>
      <c r="AS137" s="25">
        <f t="shared" si="13"/>
        <v>35801</v>
      </c>
      <c r="AU137"/>
      <c r="AV137"/>
    </row>
    <row r="138" spans="15:48" ht="14.4" x14ac:dyDescent="0.3">
      <c r="O138" s="112" t="s">
        <v>68</v>
      </c>
      <c r="P138" s="25" t="s">
        <v>64</v>
      </c>
      <c r="Q138" s="25" t="s">
        <v>62</v>
      </c>
      <c r="R138" s="25" t="s">
        <v>60</v>
      </c>
      <c r="S138" s="25">
        <v>414</v>
      </c>
      <c r="T138" s="25">
        <v>454</v>
      </c>
      <c r="U138" s="25">
        <v>467</v>
      </c>
      <c r="V138" s="25">
        <v>504</v>
      </c>
      <c r="W138" s="25">
        <v>539</v>
      </c>
      <c r="X138" s="25">
        <v>543</v>
      </c>
      <c r="Y138" s="25">
        <v>549</v>
      </c>
      <c r="Z138" s="25">
        <v>578</v>
      </c>
      <c r="AA138" s="25">
        <v>590</v>
      </c>
      <c r="AB138" s="25">
        <v>597</v>
      </c>
      <c r="AC138" s="25">
        <v>645</v>
      </c>
      <c r="AD138" s="25">
        <v>709</v>
      </c>
      <c r="AE138" s="25">
        <v>757</v>
      </c>
      <c r="AF138" s="25">
        <v>831</v>
      </c>
      <c r="AG138" s="25">
        <v>906</v>
      </c>
      <c r="AH138" s="25">
        <v>977</v>
      </c>
      <c r="AI138" s="68">
        <v>1004</v>
      </c>
      <c r="AJ138" s="68">
        <v>1061</v>
      </c>
      <c r="AK138" s="68">
        <v>1140</v>
      </c>
      <c r="AL138" s="68">
        <v>1181</v>
      </c>
      <c r="AM138" s="68">
        <v>1198</v>
      </c>
      <c r="AN138" s="68">
        <v>1287</v>
      </c>
      <c r="AO138" s="68">
        <v>1331</v>
      </c>
      <c r="AP138" s="68">
        <v>1453</v>
      </c>
      <c r="AQ138" s="25">
        <f t="shared" si="11"/>
        <v>6589</v>
      </c>
      <c r="AR138" s="25">
        <f t="shared" si="12"/>
        <v>13126</v>
      </c>
      <c r="AS138" s="25">
        <f t="shared" si="13"/>
        <v>19715</v>
      </c>
      <c r="AU138"/>
      <c r="AV138"/>
    </row>
    <row r="139" spans="15:48" ht="14.4" x14ac:dyDescent="0.3">
      <c r="O139" s="112" t="s">
        <v>68</v>
      </c>
      <c r="P139" s="25" t="s">
        <v>64</v>
      </c>
      <c r="Q139" s="25" t="s">
        <v>62</v>
      </c>
      <c r="R139" s="25" t="s">
        <v>61</v>
      </c>
      <c r="S139" s="25">
        <v>984</v>
      </c>
      <c r="T139" s="25">
        <v>993</v>
      </c>
      <c r="U139" s="68">
        <v>1005</v>
      </c>
      <c r="V139" s="68">
        <v>1095</v>
      </c>
      <c r="W139" s="68">
        <v>1191</v>
      </c>
      <c r="X139" s="68">
        <v>1223</v>
      </c>
      <c r="Y139" s="68">
        <v>1332</v>
      </c>
      <c r="Z139" s="68">
        <v>1432</v>
      </c>
      <c r="AA139" s="68">
        <v>1450</v>
      </c>
      <c r="AB139" s="68">
        <v>1507</v>
      </c>
      <c r="AC139" s="68">
        <v>1652</v>
      </c>
      <c r="AD139" s="68">
        <v>1696</v>
      </c>
      <c r="AE139" s="68">
        <v>1757</v>
      </c>
      <c r="AF139" s="68">
        <v>1797</v>
      </c>
      <c r="AG139" s="68">
        <v>1844</v>
      </c>
      <c r="AH139" s="68">
        <v>1857</v>
      </c>
      <c r="AI139" s="68">
        <v>2014</v>
      </c>
      <c r="AJ139" s="68">
        <v>2167</v>
      </c>
      <c r="AK139" s="68">
        <v>2345</v>
      </c>
      <c r="AL139" s="68">
        <v>2458</v>
      </c>
      <c r="AM139" s="68">
        <v>2681</v>
      </c>
      <c r="AN139" s="68">
        <v>2922</v>
      </c>
      <c r="AO139" s="68">
        <v>2967</v>
      </c>
      <c r="AP139" s="68">
        <v>3206</v>
      </c>
      <c r="AQ139" s="25">
        <f t="shared" si="11"/>
        <v>15560</v>
      </c>
      <c r="AR139" s="25">
        <f t="shared" si="12"/>
        <v>28015</v>
      </c>
      <c r="AS139" s="25">
        <f t="shared" si="13"/>
        <v>43575</v>
      </c>
      <c r="AU139"/>
      <c r="AV139"/>
    </row>
    <row r="140" spans="15:48" ht="14.4" x14ac:dyDescent="0.3">
      <c r="O140" s="112" t="s">
        <v>68</v>
      </c>
      <c r="P140" s="25" t="s">
        <v>64</v>
      </c>
      <c r="Q140" s="25" t="s">
        <v>63</v>
      </c>
      <c r="R140" s="25" t="s">
        <v>58</v>
      </c>
      <c r="S140" s="25">
        <v>666</v>
      </c>
      <c r="T140" s="25">
        <v>691</v>
      </c>
      <c r="U140" s="25">
        <v>746</v>
      </c>
      <c r="V140" s="25">
        <v>807</v>
      </c>
      <c r="W140" s="25">
        <v>874</v>
      </c>
      <c r="X140" s="25">
        <v>887</v>
      </c>
      <c r="Y140" s="25">
        <v>910</v>
      </c>
      <c r="Z140" s="25">
        <v>925</v>
      </c>
      <c r="AA140" s="25">
        <v>998</v>
      </c>
      <c r="AB140" s="68">
        <v>1040</v>
      </c>
      <c r="AC140" s="68">
        <v>1043</v>
      </c>
      <c r="AD140" s="68">
        <v>1080</v>
      </c>
      <c r="AE140" s="68">
        <v>1128</v>
      </c>
      <c r="AF140" s="68">
        <v>1164</v>
      </c>
      <c r="AG140" s="68">
        <v>1224</v>
      </c>
      <c r="AH140" s="68">
        <v>1304</v>
      </c>
      <c r="AI140" s="68">
        <v>1405</v>
      </c>
      <c r="AJ140" s="68">
        <v>1495</v>
      </c>
      <c r="AK140" s="68">
        <v>1592</v>
      </c>
      <c r="AL140" s="68">
        <v>1737</v>
      </c>
      <c r="AM140" s="68">
        <v>1777</v>
      </c>
      <c r="AN140" s="68">
        <v>1846</v>
      </c>
      <c r="AO140" s="68">
        <v>1871</v>
      </c>
      <c r="AP140" s="68">
        <v>1937</v>
      </c>
      <c r="AQ140" s="25">
        <f t="shared" si="11"/>
        <v>10667</v>
      </c>
      <c r="AR140" s="25">
        <f t="shared" si="12"/>
        <v>18480</v>
      </c>
      <c r="AS140" s="25">
        <f t="shared" si="13"/>
        <v>29147</v>
      </c>
      <c r="AU140"/>
      <c r="AV140"/>
    </row>
    <row r="141" spans="15:48" ht="14.4" x14ac:dyDescent="0.3">
      <c r="O141" s="112" t="s">
        <v>68</v>
      </c>
      <c r="P141" s="25" t="s">
        <v>64</v>
      </c>
      <c r="Q141" s="25" t="s">
        <v>63</v>
      </c>
      <c r="R141" s="25" t="s">
        <v>59</v>
      </c>
      <c r="S141" s="25">
        <v>313</v>
      </c>
      <c r="T141" s="25">
        <v>325</v>
      </c>
      <c r="U141" s="25">
        <v>357</v>
      </c>
      <c r="V141" s="25">
        <v>366</v>
      </c>
      <c r="W141" s="25">
        <v>369</v>
      </c>
      <c r="X141" s="25">
        <v>399</v>
      </c>
      <c r="Y141" s="25">
        <v>413</v>
      </c>
      <c r="Z141" s="25">
        <v>452</v>
      </c>
      <c r="AA141" s="25">
        <v>474</v>
      </c>
      <c r="AB141" s="25">
        <v>483</v>
      </c>
      <c r="AC141" s="25">
        <v>500</v>
      </c>
      <c r="AD141" s="25">
        <v>535</v>
      </c>
      <c r="AE141" s="25">
        <v>551</v>
      </c>
      <c r="AF141" s="25">
        <v>579</v>
      </c>
      <c r="AG141" s="25">
        <v>612</v>
      </c>
      <c r="AH141" s="25">
        <v>671</v>
      </c>
      <c r="AI141" s="25">
        <v>686</v>
      </c>
      <c r="AJ141" s="25">
        <v>715</v>
      </c>
      <c r="AK141" s="25">
        <v>744</v>
      </c>
      <c r="AL141" s="25">
        <v>777</v>
      </c>
      <c r="AM141" s="25">
        <v>806</v>
      </c>
      <c r="AN141" s="25">
        <v>845</v>
      </c>
      <c r="AO141" s="25">
        <v>860</v>
      </c>
      <c r="AP141" s="25">
        <v>944</v>
      </c>
      <c r="AQ141" s="25">
        <f t="shared" ref="AQ141:AQ155" si="14">SUM(S141:AD141)</f>
        <v>4986</v>
      </c>
      <c r="AR141" s="25">
        <f t="shared" ref="AR141:AR155" si="15">SUM(AE141:AP141)</f>
        <v>8790</v>
      </c>
      <c r="AS141" s="25">
        <f t="shared" ref="AS141:AS155" si="16">AQ141+AR141</f>
        <v>13776</v>
      </c>
      <c r="AU141"/>
      <c r="AV141"/>
    </row>
    <row r="142" spans="15:48" ht="14.4" x14ac:dyDescent="0.3">
      <c r="O142" s="112" t="s">
        <v>68</v>
      </c>
      <c r="P142" s="25" t="s">
        <v>64</v>
      </c>
      <c r="Q142" s="25" t="s">
        <v>63</v>
      </c>
      <c r="R142" s="25" t="s">
        <v>60</v>
      </c>
      <c r="S142" s="25">
        <v>772</v>
      </c>
      <c r="T142" s="25">
        <v>819</v>
      </c>
      <c r="U142" s="25">
        <v>823</v>
      </c>
      <c r="V142" s="25">
        <v>865</v>
      </c>
      <c r="W142" s="25">
        <v>935</v>
      </c>
      <c r="X142" s="25">
        <v>988</v>
      </c>
      <c r="Y142" s="68">
        <v>1021</v>
      </c>
      <c r="Z142" s="68">
        <v>1077</v>
      </c>
      <c r="AA142" s="68">
        <v>1169</v>
      </c>
      <c r="AB142" s="68">
        <v>1243</v>
      </c>
      <c r="AC142" s="68">
        <v>1328</v>
      </c>
      <c r="AD142" s="68">
        <v>1449</v>
      </c>
      <c r="AE142" s="68">
        <v>1591</v>
      </c>
      <c r="AF142" s="68">
        <v>1726</v>
      </c>
      <c r="AG142" s="68">
        <v>1738</v>
      </c>
      <c r="AH142" s="68">
        <v>1746</v>
      </c>
      <c r="AI142" s="68">
        <v>1835</v>
      </c>
      <c r="AJ142" s="68">
        <v>1931</v>
      </c>
      <c r="AK142" s="68">
        <v>1936</v>
      </c>
      <c r="AL142" s="68">
        <v>2040</v>
      </c>
      <c r="AM142" s="68">
        <v>2100</v>
      </c>
      <c r="AN142" s="68">
        <v>2292</v>
      </c>
      <c r="AO142" s="68">
        <v>2317</v>
      </c>
      <c r="AP142" s="68">
        <v>2447</v>
      </c>
      <c r="AQ142" s="25">
        <f t="shared" si="14"/>
        <v>12489</v>
      </c>
      <c r="AR142" s="25">
        <f t="shared" si="15"/>
        <v>23699</v>
      </c>
      <c r="AS142" s="25">
        <f t="shared" si="16"/>
        <v>36188</v>
      </c>
      <c r="AU142"/>
      <c r="AV142"/>
    </row>
    <row r="143" spans="15:48" ht="14.4" x14ac:dyDescent="0.3">
      <c r="O143" s="112" t="s">
        <v>68</v>
      </c>
      <c r="P143" s="25" t="s">
        <v>64</v>
      </c>
      <c r="Q143" s="25" t="s">
        <v>63</v>
      </c>
      <c r="R143" s="25" t="s">
        <v>61</v>
      </c>
      <c r="S143" s="25">
        <v>937</v>
      </c>
      <c r="T143" s="25">
        <v>984</v>
      </c>
      <c r="U143" s="68">
        <v>1015</v>
      </c>
      <c r="V143" s="68">
        <v>1101</v>
      </c>
      <c r="W143" s="68">
        <v>1175</v>
      </c>
      <c r="X143" s="68">
        <v>1269</v>
      </c>
      <c r="Y143" s="68">
        <v>1327</v>
      </c>
      <c r="Z143" s="68">
        <v>1360</v>
      </c>
      <c r="AA143" s="68">
        <v>1435</v>
      </c>
      <c r="AB143" s="68">
        <v>1567</v>
      </c>
      <c r="AC143" s="68">
        <v>1583</v>
      </c>
      <c r="AD143" s="68">
        <v>1603</v>
      </c>
      <c r="AE143" s="68">
        <v>1677</v>
      </c>
      <c r="AF143" s="68">
        <v>1842</v>
      </c>
      <c r="AG143" s="68">
        <v>2009</v>
      </c>
      <c r="AH143" s="68">
        <v>2118</v>
      </c>
      <c r="AI143" s="68">
        <v>2213</v>
      </c>
      <c r="AJ143" s="68">
        <v>2217</v>
      </c>
      <c r="AK143" s="68">
        <v>2294</v>
      </c>
      <c r="AL143" s="68">
        <v>2379</v>
      </c>
      <c r="AM143" s="68">
        <v>2475</v>
      </c>
      <c r="AN143" s="68">
        <v>2477</v>
      </c>
      <c r="AO143" s="68">
        <v>2577</v>
      </c>
      <c r="AP143" s="68">
        <v>2708</v>
      </c>
      <c r="AQ143" s="25">
        <f t="shared" si="14"/>
        <v>15356</v>
      </c>
      <c r="AR143" s="25">
        <f t="shared" si="15"/>
        <v>26986</v>
      </c>
      <c r="AS143" s="25">
        <f t="shared" si="16"/>
        <v>42342</v>
      </c>
      <c r="AU143"/>
    </row>
    <row r="144" spans="15:48" ht="14.4" x14ac:dyDescent="0.3">
      <c r="O144" s="112" t="s">
        <v>68</v>
      </c>
      <c r="P144" s="25" t="s">
        <v>65</v>
      </c>
      <c r="Q144" s="25" t="s">
        <v>57</v>
      </c>
      <c r="R144" s="25" t="s">
        <v>58</v>
      </c>
      <c r="S144" s="25">
        <v>992</v>
      </c>
      <c r="T144" s="68">
        <v>1090</v>
      </c>
      <c r="U144" s="68">
        <v>1095</v>
      </c>
      <c r="V144" s="68">
        <v>1197</v>
      </c>
      <c r="W144" s="68">
        <v>1309</v>
      </c>
      <c r="X144" s="68">
        <v>1352</v>
      </c>
      <c r="Y144" s="68">
        <v>1373</v>
      </c>
      <c r="Z144" s="68">
        <v>1419</v>
      </c>
      <c r="AA144" s="68">
        <v>1441</v>
      </c>
      <c r="AB144" s="68">
        <v>1571</v>
      </c>
      <c r="AC144" s="68">
        <v>1634</v>
      </c>
      <c r="AD144" s="68">
        <v>1649</v>
      </c>
      <c r="AE144" s="68">
        <v>1772</v>
      </c>
      <c r="AF144" s="68">
        <v>1807</v>
      </c>
      <c r="AG144" s="68">
        <v>1827</v>
      </c>
      <c r="AH144" s="68">
        <v>1850</v>
      </c>
      <c r="AI144" s="68">
        <v>2010</v>
      </c>
      <c r="AJ144" s="68">
        <v>2143</v>
      </c>
      <c r="AK144" s="68">
        <v>2311</v>
      </c>
      <c r="AL144" s="68">
        <v>2371</v>
      </c>
      <c r="AM144" s="68">
        <v>2523</v>
      </c>
      <c r="AN144" s="68">
        <v>2677</v>
      </c>
      <c r="AO144" s="68">
        <v>2763</v>
      </c>
      <c r="AP144" s="68">
        <v>2992</v>
      </c>
      <c r="AQ144" s="25">
        <f t="shared" si="14"/>
        <v>16122</v>
      </c>
      <c r="AR144" s="25">
        <f t="shared" si="15"/>
        <v>27046</v>
      </c>
      <c r="AS144" s="25">
        <f t="shared" si="16"/>
        <v>43168</v>
      </c>
      <c r="AU144"/>
    </row>
    <row r="145" spans="15:47" ht="14.4" x14ac:dyDescent="0.3">
      <c r="O145" s="112" t="s">
        <v>68</v>
      </c>
      <c r="P145" s="25" t="s">
        <v>65</v>
      </c>
      <c r="Q145" s="25" t="s">
        <v>57</v>
      </c>
      <c r="R145" s="25" t="s">
        <v>59</v>
      </c>
      <c r="S145" s="25">
        <v>956</v>
      </c>
      <c r="T145" s="68">
        <v>1007</v>
      </c>
      <c r="U145" s="68">
        <v>1055</v>
      </c>
      <c r="V145" s="68">
        <v>1091</v>
      </c>
      <c r="W145" s="68">
        <v>1129</v>
      </c>
      <c r="X145" s="68">
        <v>1239</v>
      </c>
      <c r="Y145" s="68">
        <v>1335</v>
      </c>
      <c r="Z145" s="68">
        <v>1402</v>
      </c>
      <c r="AA145" s="68">
        <v>1503</v>
      </c>
      <c r="AB145" s="68">
        <v>1623</v>
      </c>
      <c r="AC145" s="68">
        <v>1772</v>
      </c>
      <c r="AD145" s="68">
        <v>1815</v>
      </c>
      <c r="AE145" s="68">
        <v>1826</v>
      </c>
      <c r="AF145" s="68">
        <v>1944</v>
      </c>
      <c r="AG145" s="68">
        <v>2054</v>
      </c>
      <c r="AH145" s="68">
        <v>2134</v>
      </c>
      <c r="AI145" s="68">
        <v>2251</v>
      </c>
      <c r="AJ145" s="68">
        <v>2422</v>
      </c>
      <c r="AK145" s="68">
        <v>2464</v>
      </c>
      <c r="AL145" s="68">
        <v>2477</v>
      </c>
      <c r="AM145" s="68">
        <v>2643</v>
      </c>
      <c r="AN145" s="68">
        <v>2756</v>
      </c>
      <c r="AO145" s="68">
        <v>2775</v>
      </c>
      <c r="AP145" s="68">
        <v>2922</v>
      </c>
      <c r="AQ145" s="25">
        <f t="shared" si="14"/>
        <v>15927</v>
      </c>
      <c r="AR145" s="25">
        <f t="shared" si="15"/>
        <v>28668</v>
      </c>
      <c r="AS145" s="25">
        <f t="shared" si="16"/>
        <v>44595</v>
      </c>
      <c r="AU145"/>
    </row>
    <row r="146" spans="15:47" ht="14.4" x14ac:dyDescent="0.3">
      <c r="O146" s="112" t="s">
        <v>68</v>
      </c>
      <c r="P146" s="25" t="s">
        <v>65</v>
      </c>
      <c r="Q146" s="25" t="s">
        <v>57</v>
      </c>
      <c r="R146" s="25" t="s">
        <v>60</v>
      </c>
      <c r="S146" s="25">
        <v>944</v>
      </c>
      <c r="T146" s="68">
        <v>1021</v>
      </c>
      <c r="U146" s="68">
        <v>1087</v>
      </c>
      <c r="V146" s="68">
        <v>1169</v>
      </c>
      <c r="W146" s="68">
        <v>1258</v>
      </c>
      <c r="X146" s="68">
        <v>1302</v>
      </c>
      <c r="Y146" s="68">
        <v>1348</v>
      </c>
      <c r="Z146" s="68">
        <v>1387</v>
      </c>
      <c r="AA146" s="68">
        <v>1462</v>
      </c>
      <c r="AB146" s="68">
        <v>1579</v>
      </c>
      <c r="AC146" s="68">
        <v>1674</v>
      </c>
      <c r="AD146" s="68">
        <v>1744</v>
      </c>
      <c r="AE146" s="68">
        <v>1800</v>
      </c>
      <c r="AF146" s="68">
        <v>1902</v>
      </c>
      <c r="AG146" s="68">
        <v>2046</v>
      </c>
      <c r="AH146" s="68">
        <v>2217</v>
      </c>
      <c r="AI146" s="68">
        <v>2385</v>
      </c>
      <c r="AJ146" s="68">
        <v>2425</v>
      </c>
      <c r="AK146" s="68">
        <v>2520</v>
      </c>
      <c r="AL146" s="68">
        <v>2663</v>
      </c>
      <c r="AM146" s="68">
        <v>2741</v>
      </c>
      <c r="AN146" s="68">
        <v>3015</v>
      </c>
      <c r="AO146" s="68">
        <v>3309</v>
      </c>
      <c r="AP146" s="68">
        <v>3572</v>
      </c>
      <c r="AQ146" s="25">
        <f t="shared" si="14"/>
        <v>15975</v>
      </c>
      <c r="AR146" s="25">
        <f t="shared" si="15"/>
        <v>30595</v>
      </c>
      <c r="AS146" s="25">
        <f t="shared" si="16"/>
        <v>46570</v>
      </c>
      <c r="AU146"/>
    </row>
    <row r="147" spans="15:47" ht="14.4" x14ac:dyDescent="0.3">
      <c r="O147" s="112" t="s">
        <v>68</v>
      </c>
      <c r="P147" s="25" t="s">
        <v>65</v>
      </c>
      <c r="Q147" s="25" t="s">
        <v>57</v>
      </c>
      <c r="R147" s="25" t="s">
        <v>61</v>
      </c>
      <c r="S147" s="25">
        <v>44</v>
      </c>
      <c r="T147" s="25">
        <v>44</v>
      </c>
      <c r="U147" s="25">
        <v>45</v>
      </c>
      <c r="V147" s="25">
        <v>47</v>
      </c>
      <c r="W147" s="25">
        <v>47</v>
      </c>
      <c r="X147" s="25">
        <v>48</v>
      </c>
      <c r="Y147" s="25">
        <v>49</v>
      </c>
      <c r="Z147" s="25">
        <v>54</v>
      </c>
      <c r="AA147" s="25">
        <v>55</v>
      </c>
      <c r="AB147" s="25">
        <v>56</v>
      </c>
      <c r="AC147" s="25">
        <v>60</v>
      </c>
      <c r="AD147" s="25">
        <v>66</v>
      </c>
      <c r="AE147" s="25">
        <v>71</v>
      </c>
      <c r="AF147" s="25">
        <v>76</v>
      </c>
      <c r="AG147" s="25">
        <v>77</v>
      </c>
      <c r="AH147" s="25">
        <v>82</v>
      </c>
      <c r="AI147" s="25">
        <v>88</v>
      </c>
      <c r="AJ147" s="25">
        <v>94</v>
      </c>
      <c r="AK147" s="25">
        <v>102</v>
      </c>
      <c r="AL147" s="25">
        <v>107</v>
      </c>
      <c r="AM147" s="25">
        <v>110</v>
      </c>
      <c r="AN147" s="25">
        <v>119</v>
      </c>
      <c r="AO147" s="25">
        <v>122</v>
      </c>
      <c r="AP147" s="25">
        <v>132</v>
      </c>
      <c r="AQ147" s="25">
        <f t="shared" si="14"/>
        <v>615</v>
      </c>
      <c r="AR147" s="25">
        <f t="shared" si="15"/>
        <v>1180</v>
      </c>
      <c r="AS147" s="25">
        <f t="shared" si="16"/>
        <v>1795</v>
      </c>
      <c r="AU147"/>
    </row>
    <row r="148" spans="15:47" ht="14.4" x14ac:dyDescent="0.3">
      <c r="O148" s="112" t="s">
        <v>68</v>
      </c>
      <c r="P148" s="25" t="s">
        <v>65</v>
      </c>
      <c r="Q148" s="25" t="s">
        <v>62</v>
      </c>
      <c r="R148" s="25" t="s">
        <v>58</v>
      </c>
      <c r="S148" s="25">
        <v>926</v>
      </c>
      <c r="T148" s="25">
        <v>992</v>
      </c>
      <c r="U148" s="68">
        <v>1077</v>
      </c>
      <c r="V148" s="68">
        <v>1100</v>
      </c>
      <c r="W148" s="68">
        <v>1149</v>
      </c>
      <c r="X148" s="68">
        <v>1260</v>
      </c>
      <c r="Y148" s="68">
        <v>1309</v>
      </c>
      <c r="Z148" s="68">
        <v>1431</v>
      </c>
      <c r="AA148" s="68">
        <v>1471</v>
      </c>
      <c r="AB148" s="68">
        <v>1543</v>
      </c>
      <c r="AC148" s="68">
        <v>1607</v>
      </c>
      <c r="AD148" s="68">
        <v>1663</v>
      </c>
      <c r="AE148" s="68">
        <v>1810</v>
      </c>
      <c r="AF148" s="68">
        <v>1843</v>
      </c>
      <c r="AG148" s="68">
        <v>1988</v>
      </c>
      <c r="AH148" s="68">
        <v>2108</v>
      </c>
      <c r="AI148" s="68">
        <v>2162</v>
      </c>
      <c r="AJ148" s="68">
        <v>2231</v>
      </c>
      <c r="AK148" s="68">
        <v>2360</v>
      </c>
      <c r="AL148" s="68">
        <v>2556</v>
      </c>
      <c r="AM148" s="68">
        <v>2578</v>
      </c>
      <c r="AN148" s="68">
        <v>2661</v>
      </c>
      <c r="AO148" s="68">
        <v>2880</v>
      </c>
      <c r="AP148" s="68">
        <v>2964</v>
      </c>
      <c r="AQ148" s="25">
        <f t="shared" si="14"/>
        <v>15528</v>
      </c>
      <c r="AR148" s="25">
        <f t="shared" si="15"/>
        <v>28141</v>
      </c>
      <c r="AS148" s="25">
        <f t="shared" si="16"/>
        <v>43669</v>
      </c>
      <c r="AU148"/>
    </row>
    <row r="149" spans="15:47" ht="14.4" x14ac:dyDescent="0.3">
      <c r="O149" s="112" t="s">
        <v>68</v>
      </c>
      <c r="P149" s="25" t="s">
        <v>65</v>
      </c>
      <c r="Q149" s="25" t="s">
        <v>62</v>
      </c>
      <c r="R149" s="25" t="s">
        <v>59</v>
      </c>
      <c r="S149" s="25">
        <v>891</v>
      </c>
      <c r="T149" s="25">
        <v>959</v>
      </c>
      <c r="U149" s="68">
        <v>1053</v>
      </c>
      <c r="V149" s="68">
        <v>1073</v>
      </c>
      <c r="W149" s="68">
        <v>1101</v>
      </c>
      <c r="X149" s="68">
        <v>1138</v>
      </c>
      <c r="Y149" s="68">
        <v>1195</v>
      </c>
      <c r="Z149" s="68">
        <v>1222</v>
      </c>
      <c r="AA149" s="68">
        <v>1320</v>
      </c>
      <c r="AB149" s="68">
        <v>1361</v>
      </c>
      <c r="AC149" s="68">
        <v>1396</v>
      </c>
      <c r="AD149" s="68">
        <v>1478</v>
      </c>
      <c r="AE149" s="68">
        <v>1598</v>
      </c>
      <c r="AF149" s="68">
        <v>1607</v>
      </c>
      <c r="AG149" s="68">
        <v>1659</v>
      </c>
      <c r="AH149" s="68">
        <v>1763</v>
      </c>
      <c r="AI149" s="68">
        <v>1801</v>
      </c>
      <c r="AJ149" s="68">
        <v>1934</v>
      </c>
      <c r="AK149" s="68">
        <v>1947</v>
      </c>
      <c r="AL149" s="68">
        <v>2005</v>
      </c>
      <c r="AM149" s="68">
        <v>2068</v>
      </c>
      <c r="AN149" s="68">
        <v>2195</v>
      </c>
      <c r="AO149" s="68">
        <v>2367</v>
      </c>
      <c r="AP149" s="68">
        <v>2445</v>
      </c>
      <c r="AQ149" s="25">
        <f t="shared" si="14"/>
        <v>14187</v>
      </c>
      <c r="AR149" s="25">
        <f t="shared" si="15"/>
        <v>23389</v>
      </c>
      <c r="AS149" s="25">
        <f t="shared" si="16"/>
        <v>37576</v>
      </c>
      <c r="AU149"/>
    </row>
    <row r="150" spans="15:47" ht="14.4" x14ac:dyDescent="0.3">
      <c r="O150" s="112" t="s">
        <v>68</v>
      </c>
      <c r="P150" s="25" t="s">
        <v>65</v>
      </c>
      <c r="Q150" s="25" t="s">
        <v>62</v>
      </c>
      <c r="R150" s="25" t="s">
        <v>60</v>
      </c>
      <c r="S150" s="25">
        <v>306</v>
      </c>
      <c r="T150" s="25">
        <v>316</v>
      </c>
      <c r="U150" s="25">
        <v>338</v>
      </c>
      <c r="V150" s="25">
        <v>351</v>
      </c>
      <c r="W150" s="25">
        <v>385</v>
      </c>
      <c r="X150" s="25">
        <v>404</v>
      </c>
      <c r="Y150" s="25">
        <v>407</v>
      </c>
      <c r="Z150" s="25">
        <v>412</v>
      </c>
      <c r="AA150" s="25">
        <v>446</v>
      </c>
      <c r="AB150" s="25">
        <v>446</v>
      </c>
      <c r="AC150" s="25">
        <v>454</v>
      </c>
      <c r="AD150" s="25">
        <v>500</v>
      </c>
      <c r="AE150" s="25">
        <v>507</v>
      </c>
      <c r="AF150" s="25">
        <v>540</v>
      </c>
      <c r="AG150" s="25">
        <v>593</v>
      </c>
      <c r="AH150" s="25">
        <v>627</v>
      </c>
      <c r="AI150" s="25">
        <v>648</v>
      </c>
      <c r="AJ150" s="25">
        <v>684</v>
      </c>
      <c r="AK150" s="25">
        <v>749</v>
      </c>
      <c r="AL150" s="25">
        <v>760</v>
      </c>
      <c r="AM150" s="25">
        <v>788</v>
      </c>
      <c r="AN150" s="25">
        <v>811</v>
      </c>
      <c r="AO150" s="25">
        <v>873</v>
      </c>
      <c r="AP150" s="25">
        <v>956</v>
      </c>
      <c r="AQ150" s="25">
        <f t="shared" si="14"/>
        <v>4765</v>
      </c>
      <c r="AR150" s="25">
        <f t="shared" si="15"/>
        <v>8536</v>
      </c>
      <c r="AS150" s="25">
        <f t="shared" si="16"/>
        <v>13301</v>
      </c>
      <c r="AU150"/>
    </row>
    <row r="151" spans="15:47" ht="14.4" x14ac:dyDescent="0.3">
      <c r="O151" s="112" t="s">
        <v>68</v>
      </c>
      <c r="P151" s="25" t="s">
        <v>65</v>
      </c>
      <c r="Q151" s="25" t="s">
        <v>62</v>
      </c>
      <c r="R151" s="25" t="s">
        <v>61</v>
      </c>
      <c r="S151" s="25">
        <v>864</v>
      </c>
      <c r="T151" s="25">
        <v>893</v>
      </c>
      <c r="U151" s="25">
        <v>897</v>
      </c>
      <c r="V151" s="25">
        <v>931</v>
      </c>
      <c r="W151" s="25">
        <v>962</v>
      </c>
      <c r="X151" s="68">
        <v>1003</v>
      </c>
      <c r="Y151" s="68">
        <v>1103</v>
      </c>
      <c r="Z151" s="68">
        <v>1168</v>
      </c>
      <c r="AA151" s="68">
        <v>1260</v>
      </c>
      <c r="AB151" s="68">
        <v>1272</v>
      </c>
      <c r="AC151" s="68">
        <v>1375</v>
      </c>
      <c r="AD151" s="68">
        <v>1404</v>
      </c>
      <c r="AE151" s="68">
        <v>1531</v>
      </c>
      <c r="AF151" s="68">
        <v>1586</v>
      </c>
      <c r="AG151" s="68">
        <v>1729</v>
      </c>
      <c r="AH151" s="68">
        <v>1807</v>
      </c>
      <c r="AI151" s="68">
        <v>1945</v>
      </c>
      <c r="AJ151" s="68">
        <v>2129</v>
      </c>
      <c r="AK151" s="68">
        <v>2144</v>
      </c>
      <c r="AL151" s="68">
        <v>2355</v>
      </c>
      <c r="AM151" s="68">
        <v>2431</v>
      </c>
      <c r="AN151" s="68">
        <v>2659</v>
      </c>
      <c r="AO151" s="68">
        <v>2767</v>
      </c>
      <c r="AP151" s="68">
        <v>2872</v>
      </c>
      <c r="AQ151" s="25">
        <f t="shared" si="14"/>
        <v>13132</v>
      </c>
      <c r="AR151" s="25">
        <f t="shared" si="15"/>
        <v>25955</v>
      </c>
      <c r="AS151" s="25">
        <f t="shared" si="16"/>
        <v>39087</v>
      </c>
      <c r="AU151"/>
    </row>
    <row r="152" spans="15:47" ht="14.4" x14ac:dyDescent="0.3">
      <c r="O152" s="112" t="s">
        <v>68</v>
      </c>
      <c r="P152" s="25" t="s">
        <v>65</v>
      </c>
      <c r="Q152" s="25" t="s">
        <v>63</v>
      </c>
      <c r="R152" s="25" t="s">
        <v>58</v>
      </c>
      <c r="S152" s="25">
        <v>197</v>
      </c>
      <c r="T152" s="25">
        <v>201</v>
      </c>
      <c r="U152" s="25">
        <v>218</v>
      </c>
      <c r="V152" s="25">
        <v>231</v>
      </c>
      <c r="W152" s="25">
        <v>247</v>
      </c>
      <c r="X152" s="25">
        <v>267</v>
      </c>
      <c r="Y152" s="25">
        <v>278</v>
      </c>
      <c r="Z152" s="25">
        <v>295</v>
      </c>
      <c r="AA152" s="25">
        <v>315</v>
      </c>
      <c r="AB152" s="25">
        <v>322</v>
      </c>
      <c r="AC152" s="25">
        <v>338</v>
      </c>
      <c r="AD152" s="25">
        <v>369</v>
      </c>
      <c r="AE152" s="25">
        <v>404</v>
      </c>
      <c r="AF152" s="25">
        <v>418</v>
      </c>
      <c r="AG152" s="25">
        <v>437</v>
      </c>
      <c r="AH152" s="25">
        <v>473</v>
      </c>
      <c r="AI152" s="25">
        <v>512</v>
      </c>
      <c r="AJ152" s="25">
        <v>523</v>
      </c>
      <c r="AK152" s="25">
        <v>566</v>
      </c>
      <c r="AL152" s="25">
        <v>587</v>
      </c>
      <c r="AM152" s="25">
        <v>628</v>
      </c>
      <c r="AN152" s="25">
        <v>651</v>
      </c>
      <c r="AO152" s="25">
        <v>703</v>
      </c>
      <c r="AP152" s="25">
        <v>730</v>
      </c>
      <c r="AQ152" s="25">
        <f t="shared" si="14"/>
        <v>3278</v>
      </c>
      <c r="AR152" s="25">
        <f t="shared" si="15"/>
        <v>6632</v>
      </c>
      <c r="AS152" s="25">
        <f t="shared" si="16"/>
        <v>9910</v>
      </c>
      <c r="AU152"/>
    </row>
    <row r="153" spans="15:47" ht="14.4" x14ac:dyDescent="0.3">
      <c r="O153" s="112" t="s">
        <v>68</v>
      </c>
      <c r="P153" s="25" t="s">
        <v>65</v>
      </c>
      <c r="Q153" s="25" t="s">
        <v>63</v>
      </c>
      <c r="R153" s="25" t="s">
        <v>59</v>
      </c>
      <c r="S153" s="25">
        <v>585</v>
      </c>
      <c r="T153" s="25">
        <v>641</v>
      </c>
      <c r="U153" s="25">
        <v>701</v>
      </c>
      <c r="V153" s="25">
        <v>765</v>
      </c>
      <c r="W153" s="25">
        <v>767</v>
      </c>
      <c r="X153" s="25">
        <v>838</v>
      </c>
      <c r="Y153" s="25">
        <v>891</v>
      </c>
      <c r="Z153" s="25">
        <v>931</v>
      </c>
      <c r="AA153" s="25">
        <v>940</v>
      </c>
      <c r="AB153" s="68">
        <v>1004</v>
      </c>
      <c r="AC153" s="68">
        <v>1011</v>
      </c>
      <c r="AD153" s="68">
        <v>1095</v>
      </c>
      <c r="AE153" s="68">
        <v>1134</v>
      </c>
      <c r="AF153" s="68">
        <v>1245</v>
      </c>
      <c r="AG153" s="68">
        <v>1291</v>
      </c>
      <c r="AH153" s="68">
        <v>1318</v>
      </c>
      <c r="AI153" s="68">
        <v>1347</v>
      </c>
      <c r="AJ153" s="68">
        <v>1404</v>
      </c>
      <c r="AK153" s="68">
        <v>1416</v>
      </c>
      <c r="AL153" s="68">
        <v>1419</v>
      </c>
      <c r="AM153" s="68">
        <v>1494</v>
      </c>
      <c r="AN153" s="68">
        <v>1590</v>
      </c>
      <c r="AO153" s="68">
        <v>1720</v>
      </c>
      <c r="AP153" s="68">
        <v>1884</v>
      </c>
      <c r="AQ153" s="25">
        <f t="shared" si="14"/>
        <v>10169</v>
      </c>
      <c r="AR153" s="25">
        <f t="shared" si="15"/>
        <v>17262</v>
      </c>
      <c r="AS153" s="25">
        <f t="shared" si="16"/>
        <v>27431</v>
      </c>
      <c r="AU153"/>
    </row>
    <row r="154" spans="15:47" ht="14.4" x14ac:dyDescent="0.3">
      <c r="O154" s="112" t="s">
        <v>68</v>
      </c>
      <c r="P154" s="25" t="s">
        <v>65</v>
      </c>
      <c r="Q154" s="25" t="s">
        <v>63</v>
      </c>
      <c r="R154" s="25" t="s">
        <v>60</v>
      </c>
      <c r="S154" s="25">
        <v>263</v>
      </c>
      <c r="T154" s="25">
        <v>272</v>
      </c>
      <c r="U154" s="25">
        <v>291</v>
      </c>
      <c r="V154" s="25">
        <v>295</v>
      </c>
      <c r="W154" s="25">
        <v>296</v>
      </c>
      <c r="X154" s="25">
        <v>310</v>
      </c>
      <c r="Y154" s="25">
        <v>315</v>
      </c>
      <c r="Z154" s="25">
        <v>320</v>
      </c>
      <c r="AA154" s="25">
        <v>348</v>
      </c>
      <c r="AB154" s="25">
        <v>361</v>
      </c>
      <c r="AC154" s="25">
        <v>397</v>
      </c>
      <c r="AD154" s="25">
        <v>403</v>
      </c>
      <c r="AE154" s="25">
        <v>431</v>
      </c>
      <c r="AF154" s="25">
        <v>450</v>
      </c>
      <c r="AG154" s="25">
        <v>478</v>
      </c>
      <c r="AH154" s="25">
        <v>480</v>
      </c>
      <c r="AI154" s="25">
        <v>496</v>
      </c>
      <c r="AJ154" s="25">
        <v>504</v>
      </c>
      <c r="AK154" s="25">
        <v>537</v>
      </c>
      <c r="AL154" s="25">
        <v>577</v>
      </c>
      <c r="AM154" s="25">
        <v>603</v>
      </c>
      <c r="AN154" s="25">
        <v>625</v>
      </c>
      <c r="AO154" s="25">
        <v>628</v>
      </c>
      <c r="AP154" s="25">
        <v>665</v>
      </c>
      <c r="AQ154" s="25">
        <f t="shared" si="14"/>
        <v>3871</v>
      </c>
      <c r="AR154" s="25">
        <f t="shared" si="15"/>
        <v>6474</v>
      </c>
      <c r="AS154" s="25">
        <f t="shared" si="16"/>
        <v>10345</v>
      </c>
      <c r="AU154"/>
    </row>
    <row r="155" spans="15:47" ht="14.4" x14ac:dyDescent="0.3">
      <c r="O155" s="75" t="s">
        <v>68</v>
      </c>
      <c r="P155" s="113" t="s">
        <v>65</v>
      </c>
      <c r="Q155" s="113" t="s">
        <v>63</v>
      </c>
      <c r="R155" s="113" t="s">
        <v>61</v>
      </c>
      <c r="S155" s="113">
        <v>420</v>
      </c>
      <c r="T155" s="113">
        <v>441</v>
      </c>
      <c r="U155" s="113">
        <v>470</v>
      </c>
      <c r="V155" s="113">
        <v>505</v>
      </c>
      <c r="W155" s="113">
        <v>554</v>
      </c>
      <c r="X155" s="113">
        <v>561</v>
      </c>
      <c r="Y155" s="113">
        <v>611</v>
      </c>
      <c r="Z155" s="113">
        <v>611</v>
      </c>
      <c r="AA155" s="113">
        <v>667</v>
      </c>
      <c r="AB155" s="113">
        <v>680</v>
      </c>
      <c r="AC155" s="113">
        <v>717</v>
      </c>
      <c r="AD155" s="113">
        <v>726</v>
      </c>
      <c r="AE155" s="113">
        <v>739</v>
      </c>
      <c r="AF155" s="113">
        <v>774</v>
      </c>
      <c r="AG155" s="113">
        <v>835</v>
      </c>
      <c r="AH155" s="113">
        <v>854</v>
      </c>
      <c r="AI155" s="113">
        <v>917</v>
      </c>
      <c r="AJ155" s="114">
        <v>1004</v>
      </c>
      <c r="AK155" s="114">
        <v>1034</v>
      </c>
      <c r="AL155" s="114">
        <v>1077</v>
      </c>
      <c r="AM155" s="114">
        <v>1125</v>
      </c>
      <c r="AN155" s="114">
        <v>1169</v>
      </c>
      <c r="AO155" s="114">
        <v>1283</v>
      </c>
      <c r="AP155" s="114">
        <v>1341</v>
      </c>
      <c r="AQ155" s="113">
        <f t="shared" si="14"/>
        <v>6963</v>
      </c>
      <c r="AR155" s="113">
        <f t="shared" si="15"/>
        <v>12152</v>
      </c>
      <c r="AS155" s="113">
        <f t="shared" si="16"/>
        <v>19115</v>
      </c>
      <c r="AU155"/>
    </row>
    <row r="156" spans="15:47" ht="14.4" x14ac:dyDescent="0.3">
      <c r="AU156"/>
    </row>
    <row r="157" spans="15:47" ht="14.4" x14ac:dyDescent="0.3">
      <c r="AU157"/>
    </row>
    <row r="158" spans="15:47" ht="14.4" x14ac:dyDescent="0.3">
      <c r="AU158"/>
    </row>
    <row r="159" spans="15:47" ht="14.4" x14ac:dyDescent="0.3">
      <c r="AU159"/>
    </row>
    <row r="160" spans="15:47" ht="14.4" x14ac:dyDescent="0.3">
      <c r="AU160"/>
    </row>
    <row r="161" spans="4:47" ht="14.4" x14ac:dyDescent="0.3">
      <c r="AU161"/>
    </row>
    <row r="162" spans="4:47" ht="14.4" x14ac:dyDescent="0.3">
      <c r="AU162"/>
    </row>
    <row r="163" spans="4:47" ht="14.4" x14ac:dyDescent="0.3">
      <c r="AU163"/>
    </row>
    <row r="164" spans="4:47" ht="14.4" x14ac:dyDescent="0.3">
      <c r="AU164"/>
    </row>
    <row r="165" spans="4:47" ht="14.4" x14ac:dyDescent="0.3">
      <c r="AU165"/>
    </row>
    <row r="166" spans="4:47" ht="14.4" x14ac:dyDescent="0.3">
      <c r="AU166"/>
    </row>
    <row r="167" spans="4:47" ht="14.4" x14ac:dyDescent="0.3">
      <c r="D167"/>
      <c r="E167"/>
      <c r="F167"/>
      <c r="G167"/>
      <c r="H167"/>
      <c r="AU167"/>
    </row>
    <row r="168" spans="4:47" ht="14.4" x14ac:dyDescent="0.3">
      <c r="D168"/>
      <c r="E168"/>
      <c r="F168"/>
      <c r="G168"/>
      <c r="H168"/>
      <c r="AU168"/>
    </row>
    <row r="169" spans="4:47" ht="14.4" x14ac:dyDescent="0.3">
      <c r="D169"/>
      <c r="E169"/>
      <c r="F169"/>
      <c r="G169"/>
      <c r="H169"/>
      <c r="AU169"/>
    </row>
    <row r="170" spans="4:47" ht="14.4" x14ac:dyDescent="0.3">
      <c r="D170"/>
      <c r="E170"/>
      <c r="F170"/>
      <c r="G170"/>
      <c r="H170"/>
      <c r="AU170"/>
    </row>
    <row r="171" spans="4:47" ht="14.4" x14ac:dyDescent="0.3">
      <c r="D171"/>
      <c r="E171"/>
      <c r="F171"/>
      <c r="G171"/>
      <c r="H171"/>
      <c r="AU171"/>
    </row>
    <row r="172" spans="4:47" ht="14.4" x14ac:dyDescent="0.3">
      <c r="D172"/>
      <c r="E172"/>
      <c r="F172"/>
      <c r="G172"/>
      <c r="H172"/>
      <c r="AU172"/>
    </row>
    <row r="173" spans="4:47" ht="14.4" x14ac:dyDescent="0.3">
      <c r="D173"/>
      <c r="E173"/>
      <c r="F173"/>
      <c r="G173"/>
      <c r="H173"/>
      <c r="AU173"/>
    </row>
    <row r="174" spans="4:47" ht="14.4" x14ac:dyDescent="0.3">
      <c r="D174"/>
      <c r="E174"/>
      <c r="F174"/>
      <c r="G174"/>
      <c r="H174"/>
      <c r="AU174"/>
    </row>
    <row r="175" spans="4:47" ht="14.4" x14ac:dyDescent="0.3">
      <c r="D175"/>
      <c r="E175"/>
      <c r="F175"/>
      <c r="G175"/>
      <c r="H175"/>
      <c r="AU175"/>
    </row>
    <row r="176" spans="4:47" ht="14.4" x14ac:dyDescent="0.3">
      <c r="D176"/>
      <c r="E176"/>
      <c r="F176"/>
      <c r="G176"/>
      <c r="H176"/>
      <c r="AU176"/>
    </row>
    <row r="177" spans="4:47" ht="14.4" x14ac:dyDescent="0.3">
      <c r="D177"/>
      <c r="E177"/>
      <c r="F177"/>
      <c r="G177"/>
      <c r="H177"/>
      <c r="AU177"/>
    </row>
    <row r="178" spans="4:47" ht="14.4" x14ac:dyDescent="0.3">
      <c r="D178"/>
      <c r="E178"/>
      <c r="F178"/>
      <c r="G178"/>
      <c r="H178"/>
      <c r="AU178"/>
    </row>
    <row r="179" spans="4:47" ht="14.4" x14ac:dyDescent="0.3">
      <c r="D179"/>
      <c r="E179"/>
      <c r="F179"/>
      <c r="G179"/>
      <c r="H179"/>
      <c r="AU179"/>
    </row>
    <row r="180" spans="4:47" ht="14.4" x14ac:dyDescent="0.3">
      <c r="D180"/>
      <c r="E180"/>
      <c r="F180"/>
      <c r="G180"/>
      <c r="H180"/>
      <c r="AU180"/>
    </row>
    <row r="181" spans="4:47" ht="14.4" x14ac:dyDescent="0.3">
      <c r="D181"/>
      <c r="E181"/>
      <c r="F181"/>
      <c r="G181"/>
      <c r="H181"/>
      <c r="AU181"/>
    </row>
    <row r="182" spans="4:47" ht="14.4" x14ac:dyDescent="0.3">
      <c r="D182"/>
      <c r="E182"/>
      <c r="F182"/>
      <c r="G182"/>
      <c r="H182"/>
      <c r="AU182"/>
    </row>
    <row r="183" spans="4:47" ht="14.4" x14ac:dyDescent="0.3">
      <c r="D183"/>
      <c r="E183"/>
      <c r="F183"/>
      <c r="G183"/>
      <c r="H183"/>
      <c r="AU183"/>
    </row>
    <row r="184" spans="4:47" ht="14.4" x14ac:dyDescent="0.3">
      <c r="D184"/>
      <c r="E184"/>
      <c r="F184"/>
      <c r="G184"/>
      <c r="H184"/>
      <c r="AU184"/>
    </row>
    <row r="185" spans="4:47" ht="14.4" x14ac:dyDescent="0.3">
      <c r="D185"/>
      <c r="E185"/>
      <c r="F185"/>
      <c r="G185"/>
      <c r="H185"/>
      <c r="AU185"/>
    </row>
    <row r="186" spans="4:47" ht="14.4" x14ac:dyDescent="0.3">
      <c r="D186"/>
      <c r="E186"/>
      <c r="F186"/>
      <c r="G186"/>
      <c r="H186"/>
      <c r="AU186"/>
    </row>
    <row r="187" spans="4:47" ht="14.4" x14ac:dyDescent="0.3">
      <c r="D187"/>
      <c r="E187"/>
      <c r="F187"/>
      <c r="G187"/>
      <c r="H187"/>
      <c r="AU187"/>
    </row>
    <row r="188" spans="4:47" ht="14.4" x14ac:dyDescent="0.3">
      <c r="D188"/>
      <c r="E188"/>
      <c r="F188"/>
      <c r="G188"/>
      <c r="H188"/>
      <c r="AU188"/>
    </row>
    <row r="189" spans="4:47" ht="14.4" x14ac:dyDescent="0.3">
      <c r="D189"/>
      <c r="E189"/>
      <c r="F189"/>
      <c r="G189"/>
      <c r="H189"/>
      <c r="AU189"/>
    </row>
    <row r="190" spans="4:47" ht="14.4" x14ac:dyDescent="0.3">
      <c r="D190"/>
      <c r="E190"/>
      <c r="F190"/>
      <c r="G190"/>
      <c r="H190"/>
      <c r="AU190"/>
    </row>
    <row r="191" spans="4:47" ht="14.4" x14ac:dyDescent="0.3">
      <c r="D191"/>
      <c r="E191"/>
      <c r="F191"/>
      <c r="G191"/>
      <c r="H191"/>
      <c r="AU191"/>
    </row>
    <row r="192" spans="4:47" ht="14.4" x14ac:dyDescent="0.3">
      <c r="D192"/>
      <c r="E192"/>
      <c r="F192"/>
      <c r="G192"/>
      <c r="H192"/>
      <c r="AU192"/>
    </row>
    <row r="193" spans="4:47" ht="14.4" x14ac:dyDescent="0.3">
      <c r="D193"/>
      <c r="E193"/>
      <c r="F193"/>
      <c r="G193"/>
      <c r="H193"/>
      <c r="AU193"/>
    </row>
    <row r="194" spans="4:47" ht="14.4" x14ac:dyDescent="0.3">
      <c r="D194"/>
      <c r="E194"/>
      <c r="F194"/>
      <c r="G194"/>
      <c r="H194"/>
      <c r="AU194"/>
    </row>
    <row r="195" spans="4:47" ht="14.4" x14ac:dyDescent="0.3">
      <c r="D195"/>
      <c r="E195"/>
      <c r="F195"/>
      <c r="G195"/>
      <c r="H195"/>
      <c r="AU195"/>
    </row>
    <row r="196" spans="4:47" ht="14.4" x14ac:dyDescent="0.3">
      <c r="D196"/>
      <c r="E196"/>
      <c r="F196"/>
      <c r="G196"/>
      <c r="H196"/>
      <c r="AU196"/>
    </row>
    <row r="197" spans="4:47" ht="14.4" x14ac:dyDescent="0.3">
      <c r="D197"/>
      <c r="E197"/>
      <c r="F197"/>
      <c r="G197"/>
      <c r="H197"/>
      <c r="AU197"/>
    </row>
    <row r="198" spans="4:47" ht="14.4" x14ac:dyDescent="0.3">
      <c r="D198"/>
      <c r="E198"/>
      <c r="F198"/>
      <c r="G198"/>
      <c r="H198"/>
      <c r="AU198"/>
    </row>
    <row r="199" spans="4:47" ht="14.4" x14ac:dyDescent="0.3">
      <c r="D199"/>
      <c r="E199"/>
      <c r="F199"/>
      <c r="G199"/>
      <c r="H199"/>
      <c r="AU199"/>
    </row>
    <row r="200" spans="4:47" ht="14.4" x14ac:dyDescent="0.3">
      <c r="D200"/>
      <c r="E200"/>
      <c r="F200"/>
      <c r="G200"/>
      <c r="H200"/>
      <c r="AU200"/>
    </row>
    <row r="201" spans="4:47" ht="14.4" x14ac:dyDescent="0.3">
      <c r="D201"/>
      <c r="E201"/>
      <c r="F201"/>
      <c r="G201"/>
      <c r="H201"/>
      <c r="AU201"/>
    </row>
    <row r="202" spans="4:47" ht="14.4" x14ac:dyDescent="0.3">
      <c r="D202"/>
      <c r="E202"/>
      <c r="F202"/>
      <c r="G202"/>
      <c r="H202"/>
      <c r="AU202"/>
    </row>
    <row r="203" spans="4:47" ht="14.4" x14ac:dyDescent="0.3">
      <c r="D203"/>
      <c r="E203"/>
      <c r="F203"/>
      <c r="G203"/>
      <c r="H203"/>
      <c r="AU203"/>
    </row>
    <row r="204" spans="4:47" ht="14.4" x14ac:dyDescent="0.3">
      <c r="AU204"/>
    </row>
    <row r="205" spans="4:47" ht="14.4" x14ac:dyDescent="0.3">
      <c r="AU205"/>
    </row>
    <row r="206" spans="4:47" ht="14.4" x14ac:dyDescent="0.3">
      <c r="AU206"/>
    </row>
    <row r="207" spans="4:47" ht="14.4" x14ac:dyDescent="0.3">
      <c r="AU207"/>
    </row>
    <row r="208" spans="4:47" ht="14.4" x14ac:dyDescent="0.3">
      <c r="AU208"/>
    </row>
    <row r="209" spans="47:47" ht="14.4" x14ac:dyDescent="0.3">
      <c r="AU209"/>
    </row>
    <row r="210" spans="47:47" ht="14.4" x14ac:dyDescent="0.3">
      <c r="AU210"/>
    </row>
    <row r="211" spans="47:47" ht="14.4" x14ac:dyDescent="0.3">
      <c r="AU211"/>
    </row>
    <row r="212" spans="47:47" ht="14.4" x14ac:dyDescent="0.3">
      <c r="AU212"/>
    </row>
    <row r="213" spans="47:47" ht="14.4" x14ac:dyDescent="0.3">
      <c r="AU213"/>
    </row>
    <row r="214" spans="47:47" ht="14.4" x14ac:dyDescent="0.3">
      <c r="AU214"/>
    </row>
    <row r="215" spans="47:47" ht="14.4" x14ac:dyDescent="0.3">
      <c r="AU215"/>
    </row>
    <row r="216" spans="47:47" ht="14.4" x14ac:dyDescent="0.3">
      <c r="AU216"/>
    </row>
    <row r="217" spans="47:47" ht="14.4" x14ac:dyDescent="0.3">
      <c r="AU217"/>
    </row>
    <row r="218" spans="47:47" ht="14.4" x14ac:dyDescent="0.3">
      <c r="AU218"/>
    </row>
    <row r="219" spans="47:47" ht="14.4" x14ac:dyDescent="0.3">
      <c r="AU219"/>
    </row>
    <row r="220" spans="47:47" ht="14.4" x14ac:dyDescent="0.3">
      <c r="AU220"/>
    </row>
    <row r="221" spans="47:47" ht="14.4" x14ac:dyDescent="0.3">
      <c r="AU221"/>
    </row>
    <row r="222" spans="47:47" ht="14.4" x14ac:dyDescent="0.3">
      <c r="AU222"/>
    </row>
    <row r="223" spans="47:47" ht="14.4" x14ac:dyDescent="0.3">
      <c r="AU223"/>
    </row>
    <row r="224" spans="47:47" ht="14.4" x14ac:dyDescent="0.3">
      <c r="AU224"/>
    </row>
    <row r="225" spans="47:47" ht="14.4" x14ac:dyDescent="0.3">
      <c r="AU225"/>
    </row>
    <row r="226" spans="47:47" ht="14.4" x14ac:dyDescent="0.3">
      <c r="AU226"/>
    </row>
    <row r="227" spans="47:47" ht="14.4" x14ac:dyDescent="0.3">
      <c r="AU227"/>
    </row>
    <row r="228" spans="47:47" ht="14.4" x14ac:dyDescent="0.3">
      <c r="AU228"/>
    </row>
    <row r="229" spans="47:47" ht="14.4" x14ac:dyDescent="0.3">
      <c r="AU229"/>
    </row>
    <row r="230" spans="47:47" ht="14.4" x14ac:dyDescent="0.3">
      <c r="AU230"/>
    </row>
    <row r="231" spans="47:47" ht="14.4" x14ac:dyDescent="0.3">
      <c r="AU231"/>
    </row>
    <row r="232" spans="47:47" ht="14.4" x14ac:dyDescent="0.3">
      <c r="AU232"/>
    </row>
    <row r="233" spans="47:47" ht="14.4" x14ac:dyDescent="0.3">
      <c r="AU233"/>
    </row>
    <row r="234" spans="47:47" ht="14.4" x14ac:dyDescent="0.3">
      <c r="AU234"/>
    </row>
    <row r="235" spans="47:47" ht="14.4" x14ac:dyDescent="0.3">
      <c r="AU235"/>
    </row>
    <row r="236" spans="47:47" ht="14.4" x14ac:dyDescent="0.3">
      <c r="AU236"/>
    </row>
    <row r="237" spans="47:47" ht="14.4" x14ac:dyDescent="0.3">
      <c r="AU237"/>
    </row>
    <row r="238" spans="47:47" ht="14.4" x14ac:dyDescent="0.3">
      <c r="AU238"/>
    </row>
    <row r="239" spans="47:47" ht="14.4" x14ac:dyDescent="0.3">
      <c r="AU239"/>
    </row>
    <row r="240" spans="47:47" ht="14.4" x14ac:dyDescent="0.3">
      <c r="AU240"/>
    </row>
    <row r="241" spans="47:47" ht="14.4" x14ac:dyDescent="0.3">
      <c r="AU241"/>
    </row>
    <row r="242" spans="47:47" ht="14.4" x14ac:dyDescent="0.3">
      <c r="AU242"/>
    </row>
    <row r="243" spans="47:47" ht="14.4" x14ac:dyDescent="0.3">
      <c r="AU243"/>
    </row>
    <row r="244" spans="47:47" ht="14.4" x14ac:dyDescent="0.3">
      <c r="AU244"/>
    </row>
    <row r="245" spans="47:47" ht="14.4" x14ac:dyDescent="0.3">
      <c r="AU245"/>
    </row>
    <row r="246" spans="47:47" ht="14.4" x14ac:dyDescent="0.3">
      <c r="AU246"/>
    </row>
    <row r="247" spans="47:47" ht="14.4" x14ac:dyDescent="0.3">
      <c r="AU247"/>
    </row>
    <row r="248" spans="47:47" ht="14.4" x14ac:dyDescent="0.3">
      <c r="AU248"/>
    </row>
    <row r="249" spans="47:47" ht="14.4" x14ac:dyDescent="0.3">
      <c r="AU249"/>
    </row>
    <row r="250" spans="47:47" ht="14.4" x14ac:dyDescent="0.3">
      <c r="AU250"/>
    </row>
    <row r="251" spans="47:47" ht="14.4" x14ac:dyDescent="0.3">
      <c r="AU251"/>
    </row>
    <row r="252" spans="47:47" ht="14.4" x14ac:dyDescent="0.3">
      <c r="AU252"/>
    </row>
    <row r="253" spans="47:47" ht="14.4" x14ac:dyDescent="0.3">
      <c r="AU253"/>
    </row>
    <row r="254" spans="47:47" ht="14.4" x14ac:dyDescent="0.3">
      <c r="AU254"/>
    </row>
    <row r="255" spans="47:47" ht="14.4" x14ac:dyDescent="0.3">
      <c r="AU255"/>
    </row>
    <row r="256" spans="47:47" ht="14.4" x14ac:dyDescent="0.3">
      <c r="AU256"/>
    </row>
    <row r="257" spans="47:47" ht="14.4" x14ac:dyDescent="0.3">
      <c r="AU257"/>
    </row>
    <row r="258" spans="47:47" ht="14.4" x14ac:dyDescent="0.3">
      <c r="AU258"/>
    </row>
    <row r="259" spans="47:47" ht="14.4" x14ac:dyDescent="0.3">
      <c r="AU259"/>
    </row>
    <row r="260" spans="47:47" ht="14.4" x14ac:dyDescent="0.3">
      <c r="AU260"/>
    </row>
    <row r="261" spans="47:47" ht="14.4" x14ac:dyDescent="0.3">
      <c r="AU261"/>
    </row>
    <row r="262" spans="47:47" ht="14.4" x14ac:dyDescent="0.3">
      <c r="AU262"/>
    </row>
    <row r="263" spans="47:47" ht="14.4" x14ac:dyDescent="0.3">
      <c r="AU263"/>
    </row>
    <row r="264" spans="47:47" ht="14.4" x14ac:dyDescent="0.3">
      <c r="AU264"/>
    </row>
    <row r="265" spans="47:47" ht="14.4" x14ac:dyDescent="0.3">
      <c r="AU265"/>
    </row>
    <row r="266" spans="47:47" ht="14.4" x14ac:dyDescent="0.3">
      <c r="AU266"/>
    </row>
    <row r="267" spans="47:47" ht="14.4" x14ac:dyDescent="0.3">
      <c r="AU267"/>
    </row>
    <row r="268" spans="47:47" ht="14.4" x14ac:dyDescent="0.3">
      <c r="AU268"/>
    </row>
    <row r="269" spans="47:47" ht="14.4" x14ac:dyDescent="0.3">
      <c r="AU269"/>
    </row>
    <row r="270" spans="47:47" ht="14.4" x14ac:dyDescent="0.3">
      <c r="AU270"/>
    </row>
    <row r="271" spans="47:47" ht="14.4" x14ac:dyDescent="0.3">
      <c r="AU271"/>
    </row>
    <row r="272" spans="47:47" ht="14.4" x14ac:dyDescent="0.3">
      <c r="AU272"/>
    </row>
    <row r="273" spans="47:47" ht="14.4" x14ac:dyDescent="0.3">
      <c r="AU273"/>
    </row>
    <row r="274" spans="47:47" ht="14.4" x14ac:dyDescent="0.3">
      <c r="AU274"/>
    </row>
    <row r="275" spans="47:47" ht="14.4" x14ac:dyDescent="0.3">
      <c r="AU275"/>
    </row>
    <row r="276" spans="47:47" ht="14.4" x14ac:dyDescent="0.3">
      <c r="AU276"/>
    </row>
    <row r="277" spans="47:47" ht="14.4" x14ac:dyDescent="0.3">
      <c r="AU277"/>
    </row>
    <row r="278" spans="47:47" ht="14.4" x14ac:dyDescent="0.3">
      <c r="AU278"/>
    </row>
    <row r="279" spans="47:47" ht="14.4" x14ac:dyDescent="0.3">
      <c r="AU279"/>
    </row>
    <row r="280" spans="47:47" ht="14.4" x14ac:dyDescent="0.3">
      <c r="AU280"/>
    </row>
    <row r="281" spans="47:47" ht="14.4" x14ac:dyDescent="0.3">
      <c r="AU281"/>
    </row>
    <row r="282" spans="47:47" ht="14.4" x14ac:dyDescent="0.3">
      <c r="AU282"/>
    </row>
    <row r="283" spans="47:47" ht="14.4" x14ac:dyDescent="0.3">
      <c r="AU283"/>
    </row>
    <row r="284" spans="47:47" ht="14.4" x14ac:dyDescent="0.3">
      <c r="AU284"/>
    </row>
    <row r="285" spans="47:47" ht="14.4" x14ac:dyDescent="0.3">
      <c r="AU285"/>
    </row>
  </sheetData>
  <mergeCells count="1">
    <mergeCell ref="F3:L3"/>
  </mergeCells>
  <phoneticPr fontId="24" type="noConversion"/>
  <dataValidations count="3">
    <dataValidation type="list" allowBlank="1" showInputMessage="1" showErrorMessage="1" sqref="J52" xr:uid="{3A7A0BDF-0515-4AEB-8783-7D3495C07256}">
      <formula1>$AU$34:$AU$36</formula1>
    </dataValidation>
    <dataValidation type="list" allowBlank="1" showInputMessage="1" showErrorMessage="1" sqref="I52" xr:uid="{1560B2B7-B8B5-4619-9A55-2C598F210AC2}">
      <formula1>$AX$27:$AX$29</formula1>
    </dataValidation>
    <dataValidation type="list" allowBlank="1" showInputMessage="1" showErrorMessage="1" sqref="H52" xr:uid="{19676EDA-E557-4D58-84F1-449383FCAD67}">
      <formula1>$AU$27:$AU$30</formula1>
    </dataValidation>
  </dataValidations>
  <pageMargins left="0.7" right="0.7" top="0.75" bottom="0.75" header="0.3" footer="0.3"/>
  <pageSetup orientation="portrait" horizontalDpi="300" verticalDpi="300" r:id="rId1"/>
  <ignoredErrors>
    <ignoredError sqref="AQ12:AR155" formulaRange="1"/>
  </ignoredErrors>
  <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A2A61-33C0-49CA-9EB9-D33852C3F85A}">
  <dimension ref="C23:G59"/>
  <sheetViews>
    <sheetView workbookViewId="0">
      <selection activeCell="C23" sqref="C23:G59"/>
    </sheetView>
  </sheetViews>
  <sheetFormatPr defaultRowHeight="14.4" x14ac:dyDescent="0.3"/>
  <sheetData>
    <row r="23" spans="3:7" x14ac:dyDescent="0.3">
      <c r="C23" s="70" t="s">
        <v>51</v>
      </c>
      <c r="D23" s="70" t="s">
        <v>52</v>
      </c>
      <c r="E23" s="70" t="s">
        <v>53</v>
      </c>
      <c r="F23" s="70" t="s">
        <v>54</v>
      </c>
      <c r="G23" s="71">
        <v>39448</v>
      </c>
    </row>
    <row r="24" spans="3:7" x14ac:dyDescent="0.3">
      <c r="C24" s="72" t="s">
        <v>55</v>
      </c>
      <c r="D24" s="72" t="s">
        <v>56</v>
      </c>
      <c r="E24" s="72" t="s">
        <v>57</v>
      </c>
      <c r="F24" s="72" t="s">
        <v>58</v>
      </c>
      <c r="G24" s="72">
        <v>192</v>
      </c>
    </row>
    <row r="25" spans="3:7" x14ac:dyDescent="0.3">
      <c r="C25" s="72" t="s">
        <v>55</v>
      </c>
      <c r="D25" s="72" t="s">
        <v>56</v>
      </c>
      <c r="E25" s="72" t="s">
        <v>57</v>
      </c>
      <c r="F25" s="72" t="s">
        <v>59</v>
      </c>
      <c r="G25" s="72">
        <v>784</v>
      </c>
    </row>
    <row r="26" spans="3:7" x14ac:dyDescent="0.3">
      <c r="C26" s="72" t="s">
        <v>55</v>
      </c>
      <c r="D26" s="72" t="s">
        <v>56</v>
      </c>
      <c r="E26" s="72" t="s">
        <v>57</v>
      </c>
      <c r="F26" s="72" t="s">
        <v>60</v>
      </c>
      <c r="G26" s="72">
        <v>764</v>
      </c>
    </row>
    <row r="27" spans="3:7" x14ac:dyDescent="0.3">
      <c r="C27" s="72" t="s">
        <v>55</v>
      </c>
      <c r="D27" s="72" t="s">
        <v>56</v>
      </c>
      <c r="E27" s="72" t="s">
        <v>57</v>
      </c>
      <c r="F27" s="72" t="s">
        <v>61</v>
      </c>
      <c r="G27" s="72">
        <v>676</v>
      </c>
    </row>
    <row r="28" spans="3:7" x14ac:dyDescent="0.3">
      <c r="C28" s="72" t="s">
        <v>55</v>
      </c>
      <c r="D28" s="72" t="s">
        <v>56</v>
      </c>
      <c r="E28" s="72" t="s">
        <v>62</v>
      </c>
      <c r="F28" s="72" t="s">
        <v>58</v>
      </c>
      <c r="G28" s="72">
        <v>697</v>
      </c>
    </row>
    <row r="29" spans="3:7" x14ac:dyDescent="0.3">
      <c r="C29" s="72" t="s">
        <v>55</v>
      </c>
      <c r="D29" s="72" t="s">
        <v>56</v>
      </c>
      <c r="E29" s="72" t="s">
        <v>62</v>
      </c>
      <c r="F29" s="72" t="s">
        <v>59</v>
      </c>
      <c r="G29" s="72">
        <v>356</v>
      </c>
    </row>
    <row r="30" spans="3:7" x14ac:dyDescent="0.3">
      <c r="C30" s="72" t="s">
        <v>55</v>
      </c>
      <c r="D30" s="72" t="s">
        <v>56</v>
      </c>
      <c r="E30" s="72" t="s">
        <v>62</v>
      </c>
      <c r="F30" s="72" t="s">
        <v>60</v>
      </c>
      <c r="G30" s="72">
        <v>40</v>
      </c>
    </row>
    <row r="31" spans="3:7" x14ac:dyDescent="0.3">
      <c r="C31" s="72" t="s">
        <v>55</v>
      </c>
      <c r="D31" s="72" t="s">
        <v>56</v>
      </c>
      <c r="E31" s="72" t="s">
        <v>62</v>
      </c>
      <c r="F31" s="72" t="s">
        <v>61</v>
      </c>
      <c r="G31" s="72">
        <v>104</v>
      </c>
    </row>
    <row r="32" spans="3:7" x14ac:dyDescent="0.3">
      <c r="C32" s="72" t="s">
        <v>55</v>
      </c>
      <c r="D32" s="72" t="s">
        <v>56</v>
      </c>
      <c r="E32" s="72" t="s">
        <v>63</v>
      </c>
      <c r="F32" s="72" t="s">
        <v>58</v>
      </c>
      <c r="G32" s="72">
        <v>336</v>
      </c>
    </row>
    <row r="33" spans="3:7" x14ac:dyDescent="0.3">
      <c r="C33" s="72" t="s">
        <v>55</v>
      </c>
      <c r="D33" s="72" t="s">
        <v>56</v>
      </c>
      <c r="E33" s="72" t="s">
        <v>63</v>
      </c>
      <c r="F33" s="72" t="s">
        <v>59</v>
      </c>
      <c r="G33" s="72">
        <v>310</v>
      </c>
    </row>
    <row r="34" spans="3:7" x14ac:dyDescent="0.3">
      <c r="C34" s="72" t="s">
        <v>55</v>
      </c>
      <c r="D34" s="72" t="s">
        <v>56</v>
      </c>
      <c r="E34" s="72" t="s">
        <v>63</v>
      </c>
      <c r="F34" s="72" t="s">
        <v>60</v>
      </c>
      <c r="G34" s="72">
        <v>727</v>
      </c>
    </row>
    <row r="35" spans="3:7" x14ac:dyDescent="0.3">
      <c r="C35" s="72" t="s">
        <v>55</v>
      </c>
      <c r="D35" s="72" t="s">
        <v>56</v>
      </c>
      <c r="E35" s="72" t="s">
        <v>63</v>
      </c>
      <c r="F35" s="72" t="s">
        <v>61</v>
      </c>
      <c r="G35" s="72">
        <v>466</v>
      </c>
    </row>
    <row r="36" spans="3:7" x14ac:dyDescent="0.3">
      <c r="C36" s="72" t="s">
        <v>55</v>
      </c>
      <c r="D36" s="72" t="s">
        <v>64</v>
      </c>
      <c r="E36" s="72" t="s">
        <v>57</v>
      </c>
      <c r="F36" s="72" t="s">
        <v>58</v>
      </c>
      <c r="G36" s="72">
        <v>114</v>
      </c>
    </row>
    <row r="37" spans="3:7" x14ac:dyDescent="0.3">
      <c r="C37" s="72" t="s">
        <v>55</v>
      </c>
      <c r="D37" s="72" t="s">
        <v>64</v>
      </c>
      <c r="E37" s="72" t="s">
        <v>57</v>
      </c>
      <c r="F37" s="72" t="s">
        <v>59</v>
      </c>
      <c r="G37" s="72">
        <v>801</v>
      </c>
    </row>
    <row r="38" spans="3:7" x14ac:dyDescent="0.3">
      <c r="C38" s="72" t="s">
        <v>55</v>
      </c>
      <c r="D38" s="72" t="s">
        <v>64</v>
      </c>
      <c r="E38" s="72" t="s">
        <v>57</v>
      </c>
      <c r="F38" s="72" t="s">
        <v>60</v>
      </c>
      <c r="G38" s="72">
        <v>912</v>
      </c>
    </row>
    <row r="39" spans="3:7" x14ac:dyDescent="0.3">
      <c r="C39" s="72" t="s">
        <v>55</v>
      </c>
      <c r="D39" s="72" t="s">
        <v>64</v>
      </c>
      <c r="E39" s="72" t="s">
        <v>57</v>
      </c>
      <c r="F39" s="72" t="s">
        <v>61</v>
      </c>
      <c r="G39" s="72">
        <v>847</v>
      </c>
    </row>
    <row r="40" spans="3:7" x14ac:dyDescent="0.3">
      <c r="C40" s="72" t="s">
        <v>55</v>
      </c>
      <c r="D40" s="72" t="s">
        <v>64</v>
      </c>
      <c r="E40" s="72" t="s">
        <v>62</v>
      </c>
      <c r="F40" s="72" t="s">
        <v>58</v>
      </c>
      <c r="G40" s="72">
        <v>725</v>
      </c>
    </row>
    <row r="41" spans="3:7" x14ac:dyDescent="0.3">
      <c r="C41" s="72" t="s">
        <v>55</v>
      </c>
      <c r="D41" s="72" t="s">
        <v>64</v>
      </c>
      <c r="E41" s="72" t="s">
        <v>62</v>
      </c>
      <c r="F41" s="72" t="s">
        <v>59</v>
      </c>
      <c r="G41" s="72">
        <v>65</v>
      </c>
    </row>
    <row r="42" spans="3:7" x14ac:dyDescent="0.3">
      <c r="C42" s="72" t="s">
        <v>55</v>
      </c>
      <c r="D42" s="72" t="s">
        <v>64</v>
      </c>
      <c r="E42" s="72" t="s">
        <v>62</v>
      </c>
      <c r="F42" s="72" t="s">
        <v>60</v>
      </c>
      <c r="G42" s="72">
        <v>872</v>
      </c>
    </row>
    <row r="43" spans="3:7" x14ac:dyDescent="0.3">
      <c r="C43" s="72" t="s">
        <v>55</v>
      </c>
      <c r="D43" s="72" t="s">
        <v>64</v>
      </c>
      <c r="E43" s="72" t="s">
        <v>62</v>
      </c>
      <c r="F43" s="72" t="s">
        <v>61</v>
      </c>
      <c r="G43" s="72">
        <v>321</v>
      </c>
    </row>
    <row r="44" spans="3:7" x14ac:dyDescent="0.3">
      <c r="C44" s="72" t="s">
        <v>55</v>
      </c>
      <c r="D44" s="72" t="s">
        <v>64</v>
      </c>
      <c r="E44" s="72" t="s">
        <v>63</v>
      </c>
      <c r="F44" s="72" t="s">
        <v>58</v>
      </c>
      <c r="G44" s="72">
        <v>735</v>
      </c>
    </row>
    <row r="45" spans="3:7" x14ac:dyDescent="0.3">
      <c r="C45" s="72" t="s">
        <v>55</v>
      </c>
      <c r="D45" s="72" t="s">
        <v>64</v>
      </c>
      <c r="E45" s="72" t="s">
        <v>63</v>
      </c>
      <c r="F45" s="72" t="s">
        <v>59</v>
      </c>
      <c r="G45" s="72">
        <v>472</v>
      </c>
    </row>
    <row r="46" spans="3:7" x14ac:dyDescent="0.3">
      <c r="C46" s="72" t="s">
        <v>55</v>
      </c>
      <c r="D46" s="72" t="s">
        <v>64</v>
      </c>
      <c r="E46" s="72" t="s">
        <v>63</v>
      </c>
      <c r="F46" s="72" t="s">
        <v>60</v>
      </c>
      <c r="G46" s="72">
        <v>115</v>
      </c>
    </row>
    <row r="47" spans="3:7" x14ac:dyDescent="0.3">
      <c r="C47" s="72" t="s">
        <v>55</v>
      </c>
      <c r="D47" s="72" t="s">
        <v>64</v>
      </c>
      <c r="E47" s="72" t="s">
        <v>63</v>
      </c>
      <c r="F47" s="72" t="s">
        <v>61</v>
      </c>
      <c r="G47" s="72">
        <v>460</v>
      </c>
    </row>
    <row r="48" spans="3:7" x14ac:dyDescent="0.3">
      <c r="C48" s="72" t="s">
        <v>55</v>
      </c>
      <c r="D48" s="72" t="s">
        <v>65</v>
      </c>
      <c r="E48" s="72" t="s">
        <v>57</v>
      </c>
      <c r="F48" s="72" t="s">
        <v>58</v>
      </c>
      <c r="G48" s="72">
        <v>713</v>
      </c>
    </row>
    <row r="49" spans="3:7" x14ac:dyDescent="0.3">
      <c r="C49" s="72" t="s">
        <v>55</v>
      </c>
      <c r="D49" s="72" t="s">
        <v>65</v>
      </c>
      <c r="E49" s="72" t="s">
        <v>57</v>
      </c>
      <c r="F49" s="72" t="s">
        <v>59</v>
      </c>
      <c r="G49" s="72">
        <v>957</v>
      </c>
    </row>
    <row r="50" spans="3:7" x14ac:dyDescent="0.3">
      <c r="C50" s="72" t="s">
        <v>55</v>
      </c>
      <c r="D50" s="72" t="s">
        <v>65</v>
      </c>
      <c r="E50" s="72" t="s">
        <v>57</v>
      </c>
      <c r="F50" s="72" t="s">
        <v>60</v>
      </c>
      <c r="G50" s="72">
        <v>987</v>
      </c>
    </row>
    <row r="51" spans="3:7" x14ac:dyDescent="0.3">
      <c r="C51" s="72" t="s">
        <v>55</v>
      </c>
      <c r="D51" s="72" t="s">
        <v>65</v>
      </c>
      <c r="E51" s="72" t="s">
        <v>57</v>
      </c>
      <c r="F51" s="72" t="s">
        <v>61</v>
      </c>
      <c r="G51" s="72">
        <v>535</v>
      </c>
    </row>
    <row r="52" spans="3:7" x14ac:dyDescent="0.3">
      <c r="C52" s="72" t="s">
        <v>55</v>
      </c>
      <c r="D52" s="72" t="s">
        <v>65</v>
      </c>
      <c r="E52" s="72" t="s">
        <v>62</v>
      </c>
      <c r="F52" s="72" t="s">
        <v>58</v>
      </c>
      <c r="G52" s="72">
        <v>645</v>
      </c>
    </row>
    <row r="53" spans="3:7" x14ac:dyDescent="0.3">
      <c r="C53" s="72" t="s">
        <v>55</v>
      </c>
      <c r="D53" s="72" t="s">
        <v>65</v>
      </c>
      <c r="E53" s="72" t="s">
        <v>62</v>
      </c>
      <c r="F53" s="72" t="s">
        <v>59</v>
      </c>
      <c r="G53" s="72">
        <v>899</v>
      </c>
    </row>
    <row r="54" spans="3:7" x14ac:dyDescent="0.3">
      <c r="C54" s="72" t="s">
        <v>55</v>
      </c>
      <c r="D54" s="72" t="s">
        <v>65</v>
      </c>
      <c r="E54" s="72" t="s">
        <v>62</v>
      </c>
      <c r="F54" s="72" t="s">
        <v>60</v>
      </c>
      <c r="G54" s="72">
        <v>914</v>
      </c>
    </row>
    <row r="55" spans="3:7" x14ac:dyDescent="0.3">
      <c r="C55" s="72" t="s">
        <v>55</v>
      </c>
      <c r="D55" s="72" t="s">
        <v>65</v>
      </c>
      <c r="E55" s="72" t="s">
        <v>62</v>
      </c>
      <c r="F55" s="72" t="s">
        <v>61</v>
      </c>
      <c r="G55" s="72">
        <v>125</v>
      </c>
    </row>
    <row r="56" spans="3:7" x14ac:dyDescent="0.3">
      <c r="C56" s="72" t="s">
        <v>55</v>
      </c>
      <c r="D56" s="72" t="s">
        <v>65</v>
      </c>
      <c r="E56" s="72" t="s">
        <v>63</v>
      </c>
      <c r="F56" s="72" t="s">
        <v>58</v>
      </c>
      <c r="G56" s="72">
        <v>955</v>
      </c>
    </row>
    <row r="57" spans="3:7" x14ac:dyDescent="0.3">
      <c r="C57" s="72" t="s">
        <v>55</v>
      </c>
      <c r="D57" s="72" t="s">
        <v>65</v>
      </c>
      <c r="E57" s="72" t="s">
        <v>63</v>
      </c>
      <c r="F57" s="72" t="s">
        <v>59</v>
      </c>
      <c r="G57" s="72">
        <v>704</v>
      </c>
    </row>
    <row r="58" spans="3:7" x14ac:dyDescent="0.3">
      <c r="C58" s="72" t="s">
        <v>55</v>
      </c>
      <c r="D58" s="72" t="s">
        <v>65</v>
      </c>
      <c r="E58" s="72" t="s">
        <v>63</v>
      </c>
      <c r="F58" s="72" t="s">
        <v>60</v>
      </c>
      <c r="G58" s="72">
        <v>65</v>
      </c>
    </row>
    <row r="59" spans="3:7" x14ac:dyDescent="0.3">
      <c r="C59" s="72" t="s">
        <v>55</v>
      </c>
      <c r="D59" s="72" t="s">
        <v>65</v>
      </c>
      <c r="E59" s="72" t="s">
        <v>63</v>
      </c>
      <c r="F59" s="72" t="s">
        <v>61</v>
      </c>
      <c r="G59" s="72">
        <v>858</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404"/>
  <sheetViews>
    <sheetView workbookViewId="0">
      <selection activeCell="A413" sqref="A413"/>
    </sheetView>
  </sheetViews>
  <sheetFormatPr defaultColWidth="9.109375" defaultRowHeight="11.4" x14ac:dyDescent="0.2"/>
  <cols>
    <col min="1" max="1" width="18.109375" style="88" bestFit="1" customWidth="1"/>
    <col min="2" max="2" width="23.6640625" style="88" bestFit="1" customWidth="1"/>
    <col min="3" max="16384" width="9.109375" style="88"/>
  </cols>
  <sheetData>
    <row r="1" spans="1:3" x14ac:dyDescent="0.2">
      <c r="A1" s="87" t="s">
        <v>102</v>
      </c>
      <c r="B1" s="87" t="s">
        <v>31</v>
      </c>
      <c r="C1" s="87" t="s">
        <v>28</v>
      </c>
    </row>
    <row r="2" spans="1:3" x14ac:dyDescent="0.2">
      <c r="A2" s="88" t="s">
        <v>160</v>
      </c>
      <c r="B2" s="88" t="s">
        <v>97</v>
      </c>
      <c r="C2" s="88">
        <f>IF(A2=B2,1,0)</f>
        <v>0</v>
      </c>
    </row>
    <row r="3" spans="1:3" x14ac:dyDescent="0.2">
      <c r="A3" s="88" t="s">
        <v>98</v>
      </c>
      <c r="B3" s="88" t="s">
        <v>98</v>
      </c>
      <c r="C3" s="88">
        <f t="shared" ref="C3:C61" si="0">IF(A3=B3,1,0)</f>
        <v>1</v>
      </c>
    </row>
    <row r="4" spans="1:3" x14ac:dyDescent="0.2">
      <c r="A4" s="88" t="s">
        <v>159</v>
      </c>
      <c r="B4" s="88" t="s">
        <v>99</v>
      </c>
      <c r="C4" s="88">
        <f t="shared" si="0"/>
        <v>0</v>
      </c>
    </row>
    <row r="5" spans="1:3" x14ac:dyDescent="0.2">
      <c r="A5" s="88" t="s">
        <v>158</v>
      </c>
      <c r="B5" s="88" t="s">
        <v>100</v>
      </c>
      <c r="C5" s="88">
        <f t="shared" si="0"/>
        <v>1</v>
      </c>
    </row>
    <row r="6" spans="1:3" x14ac:dyDescent="0.2">
      <c r="A6" s="88" t="s">
        <v>101</v>
      </c>
      <c r="B6" s="88" t="s">
        <v>101</v>
      </c>
      <c r="C6" s="88">
        <f t="shared" si="0"/>
        <v>1</v>
      </c>
    </row>
    <row r="7" spans="1:3" x14ac:dyDescent="0.2">
      <c r="A7" s="88">
        <v>8</v>
      </c>
      <c r="B7" s="88">
        <v>8</v>
      </c>
      <c r="C7" s="88">
        <f t="shared" si="0"/>
        <v>1</v>
      </c>
    </row>
    <row r="8" spans="1:3" x14ac:dyDescent="0.2">
      <c r="A8" s="88">
        <v>5</v>
      </c>
      <c r="B8" s="88">
        <v>5</v>
      </c>
      <c r="C8" s="88">
        <f t="shared" si="0"/>
        <v>1</v>
      </c>
    </row>
    <row r="9" spans="1:3" x14ac:dyDescent="0.2">
      <c r="A9" s="88">
        <v>1.6774193548387097</v>
      </c>
      <c r="B9" s="88">
        <v>400</v>
      </c>
      <c r="C9" s="88">
        <f t="shared" si="0"/>
        <v>0</v>
      </c>
    </row>
    <row r="10" spans="1:3" x14ac:dyDescent="0.2">
      <c r="A10" s="89">
        <v>3200</v>
      </c>
      <c r="B10" s="88">
        <v>3200</v>
      </c>
      <c r="C10" s="88">
        <f t="shared" si="0"/>
        <v>1</v>
      </c>
    </row>
    <row r="11" spans="1:3" x14ac:dyDescent="0.2">
      <c r="A11" s="88">
        <v>400</v>
      </c>
      <c r="B11" s="88">
        <v>2</v>
      </c>
      <c r="C11" s="88">
        <f t="shared" si="0"/>
        <v>0</v>
      </c>
    </row>
    <row r="12" spans="1:3" x14ac:dyDescent="0.2">
      <c r="A12" s="88">
        <v>4000</v>
      </c>
      <c r="B12" s="88">
        <v>4000</v>
      </c>
      <c r="C12" s="88">
        <f t="shared" si="0"/>
        <v>1</v>
      </c>
    </row>
    <row r="13" spans="1:3" x14ac:dyDescent="0.2">
      <c r="A13" s="88">
        <v>1066.6666666666667</v>
      </c>
      <c r="B13" s="88">
        <v>800</v>
      </c>
      <c r="C13" s="88">
        <f t="shared" si="0"/>
        <v>0</v>
      </c>
    </row>
    <row r="14" spans="1:3" x14ac:dyDescent="0.2">
      <c r="A14" s="88" t="s">
        <v>10</v>
      </c>
      <c r="B14" s="88" t="s">
        <v>10</v>
      </c>
      <c r="C14" s="88">
        <f t="shared" si="0"/>
        <v>1</v>
      </c>
    </row>
    <row r="15" spans="1:3" x14ac:dyDescent="0.2">
      <c r="A15" s="88">
        <v>400</v>
      </c>
      <c r="B15" s="88">
        <v>400</v>
      </c>
      <c r="C15" s="88">
        <f t="shared" si="0"/>
        <v>1</v>
      </c>
    </row>
    <row r="16" spans="1:3" x14ac:dyDescent="0.2">
      <c r="A16" s="88">
        <v>1</v>
      </c>
      <c r="B16" s="88">
        <v>0</v>
      </c>
      <c r="C16" s="88">
        <f t="shared" si="0"/>
        <v>0</v>
      </c>
    </row>
    <row r="17" spans="1:3" x14ac:dyDescent="0.2">
      <c r="A17" s="88" t="s">
        <v>9</v>
      </c>
      <c r="B17" s="88" t="s">
        <v>9</v>
      </c>
      <c r="C17" s="88">
        <f t="shared" si="0"/>
        <v>1</v>
      </c>
    </row>
    <row r="18" spans="1:3" x14ac:dyDescent="0.2">
      <c r="B18" s="88" t="s">
        <v>113</v>
      </c>
      <c r="C18" s="88">
        <f t="shared" si="0"/>
        <v>0</v>
      </c>
    </row>
    <row r="19" spans="1:3" x14ac:dyDescent="0.2">
      <c r="A19" s="88" t="s">
        <v>199</v>
      </c>
      <c r="B19" s="88" t="s">
        <v>114</v>
      </c>
      <c r="C19" s="88">
        <f t="shared" si="0"/>
        <v>0</v>
      </c>
    </row>
    <row r="20" spans="1:3" x14ac:dyDescent="0.2">
      <c r="A20" s="88" t="s">
        <v>200</v>
      </c>
      <c r="B20" s="88" t="s">
        <v>115</v>
      </c>
      <c r="C20" s="88">
        <f t="shared" si="0"/>
        <v>0</v>
      </c>
    </row>
    <row r="21" spans="1:3" x14ac:dyDescent="0.2">
      <c r="A21" s="88" t="s">
        <v>201</v>
      </c>
      <c r="C21" s="88">
        <f t="shared" si="0"/>
        <v>0</v>
      </c>
    </row>
    <row r="24" spans="1:3" x14ac:dyDescent="0.2">
      <c r="A24" s="88">
        <v>276</v>
      </c>
      <c r="B24" s="88">
        <v>276</v>
      </c>
      <c r="C24" s="88">
        <f t="shared" si="0"/>
        <v>1</v>
      </c>
    </row>
    <row r="25" spans="1:3" x14ac:dyDescent="0.2">
      <c r="A25" s="88">
        <v>74</v>
      </c>
      <c r="B25" s="88">
        <v>67</v>
      </c>
      <c r="C25" s="88">
        <f t="shared" si="0"/>
        <v>0</v>
      </c>
    </row>
    <row r="26" spans="1:3" x14ac:dyDescent="0.2">
      <c r="A26" s="88">
        <v>130</v>
      </c>
      <c r="B26" s="88">
        <v>64</v>
      </c>
      <c r="C26" s="88">
        <f t="shared" si="0"/>
        <v>0</v>
      </c>
    </row>
    <row r="27" spans="1:3" x14ac:dyDescent="0.2">
      <c r="C27" s="88">
        <f t="shared" si="0"/>
        <v>1</v>
      </c>
    </row>
    <row r="28" spans="1:3" x14ac:dyDescent="0.2">
      <c r="A28" s="88">
        <v>150</v>
      </c>
      <c r="B28" s="88">
        <v>150</v>
      </c>
      <c r="C28" s="88">
        <f t="shared" si="0"/>
        <v>1</v>
      </c>
    </row>
    <row r="29" spans="1:3" x14ac:dyDescent="0.2">
      <c r="A29" s="88" t="s">
        <v>111</v>
      </c>
      <c r="B29" s="88">
        <v>0</v>
      </c>
      <c r="C29" s="88">
        <f t="shared" si="0"/>
        <v>0</v>
      </c>
    </row>
    <row r="30" spans="1:3" x14ac:dyDescent="0.2">
      <c r="A30" s="88">
        <v>40</v>
      </c>
      <c r="B30" s="88">
        <v>40</v>
      </c>
      <c r="C30" s="88">
        <f t="shared" si="0"/>
        <v>1</v>
      </c>
    </row>
    <row r="31" spans="1:3" x14ac:dyDescent="0.2">
      <c r="A31" s="88">
        <v>24</v>
      </c>
      <c r="B31" s="88">
        <v>24</v>
      </c>
      <c r="C31" s="88">
        <f t="shared" si="0"/>
        <v>1</v>
      </c>
    </row>
    <row r="32" spans="1:3" x14ac:dyDescent="0.2">
      <c r="A32" s="88">
        <v>40</v>
      </c>
      <c r="B32" s="88">
        <v>40</v>
      </c>
      <c r="C32" s="88">
        <f t="shared" si="0"/>
        <v>1</v>
      </c>
    </row>
    <row r="33" spans="1:3" x14ac:dyDescent="0.2">
      <c r="A33" s="88" t="s">
        <v>111</v>
      </c>
      <c r="B33" s="88">
        <v>0</v>
      </c>
      <c r="C33" s="88">
        <f t="shared" si="0"/>
        <v>0</v>
      </c>
    </row>
    <row r="34" spans="1:3" x14ac:dyDescent="0.2">
      <c r="A34" s="88">
        <v>14</v>
      </c>
      <c r="B34" s="88">
        <v>14</v>
      </c>
      <c r="C34" s="88">
        <f t="shared" si="0"/>
        <v>1</v>
      </c>
    </row>
    <row r="35" spans="1:3" x14ac:dyDescent="0.2">
      <c r="A35" s="88">
        <v>12</v>
      </c>
      <c r="B35" s="88">
        <v>12</v>
      </c>
      <c r="C35" s="88">
        <f t="shared" si="0"/>
        <v>1</v>
      </c>
    </row>
    <row r="36" spans="1:3" x14ac:dyDescent="0.2">
      <c r="A36" s="88">
        <v>25</v>
      </c>
      <c r="B36" s="88">
        <v>25</v>
      </c>
      <c r="C36" s="88">
        <f t="shared" si="0"/>
        <v>1</v>
      </c>
    </row>
    <row r="37" spans="1:3" x14ac:dyDescent="0.2">
      <c r="A37" s="88" t="s">
        <v>111</v>
      </c>
      <c r="B37" s="88">
        <v>0</v>
      </c>
      <c r="C37" s="88">
        <f t="shared" si="0"/>
        <v>0</v>
      </c>
    </row>
    <row r="38" spans="1:3" x14ac:dyDescent="0.2">
      <c r="A38" s="88" t="s">
        <v>111</v>
      </c>
      <c r="B38" s="88">
        <v>0</v>
      </c>
      <c r="C38" s="88">
        <f t="shared" si="0"/>
        <v>0</v>
      </c>
    </row>
    <row r="39" spans="1:3" x14ac:dyDescent="0.2">
      <c r="A39" s="88">
        <v>7.1428571428571425E-2</v>
      </c>
      <c r="B39" s="88">
        <v>0</v>
      </c>
      <c r="C39" s="88">
        <f t="shared" si="0"/>
        <v>0</v>
      </c>
    </row>
    <row r="40" spans="1:3" x14ac:dyDescent="0.2">
      <c r="A40" s="90" t="s">
        <v>111</v>
      </c>
      <c r="B40" s="91">
        <v>0.125</v>
      </c>
      <c r="C40" s="88">
        <f t="shared" si="0"/>
        <v>0</v>
      </c>
    </row>
    <row r="41" spans="1:3" x14ac:dyDescent="0.2">
      <c r="A41" s="90">
        <v>7.1428571428571425E-2</v>
      </c>
      <c r="B41" s="91" t="s">
        <v>111</v>
      </c>
      <c r="C41" s="88">
        <f t="shared" si="0"/>
        <v>0</v>
      </c>
    </row>
    <row r="42" spans="1:3" x14ac:dyDescent="0.2">
      <c r="A42" s="90">
        <v>0.21428571428571427</v>
      </c>
      <c r="B42" s="91">
        <v>1</v>
      </c>
      <c r="C42" s="88">
        <f t="shared" si="0"/>
        <v>0</v>
      </c>
    </row>
    <row r="43" spans="1:3" x14ac:dyDescent="0.2">
      <c r="A43" s="90">
        <v>7.1428571428571425E-2</v>
      </c>
      <c r="B43" s="91">
        <v>1</v>
      </c>
      <c r="C43" s="88">
        <f t="shared" si="0"/>
        <v>0</v>
      </c>
    </row>
    <row r="44" spans="1:3" x14ac:dyDescent="0.2">
      <c r="A44" s="90" t="s">
        <v>111</v>
      </c>
      <c r="B44" s="91">
        <v>1</v>
      </c>
      <c r="C44" s="88">
        <f t="shared" si="0"/>
        <v>0</v>
      </c>
    </row>
    <row r="45" spans="1:3" x14ac:dyDescent="0.2">
      <c r="A45" s="90">
        <v>0</v>
      </c>
      <c r="B45" s="91" t="s">
        <v>111</v>
      </c>
      <c r="C45" s="88">
        <f t="shared" si="0"/>
        <v>0</v>
      </c>
    </row>
    <row r="46" spans="1:3" x14ac:dyDescent="0.2">
      <c r="A46" s="90">
        <v>0.5</v>
      </c>
      <c r="B46" s="91" t="s">
        <v>111</v>
      </c>
      <c r="C46" s="88">
        <f t="shared" si="0"/>
        <v>0</v>
      </c>
    </row>
    <row r="47" spans="1:3" x14ac:dyDescent="0.2">
      <c r="A47" s="90">
        <v>7.1428571428571425E-2</v>
      </c>
      <c r="B47" s="91">
        <v>1</v>
      </c>
      <c r="C47" s="88">
        <f t="shared" si="0"/>
        <v>0</v>
      </c>
    </row>
    <row r="48" spans="1:3" x14ac:dyDescent="0.2">
      <c r="A48" s="90" t="s">
        <v>111</v>
      </c>
      <c r="B48" s="91">
        <v>9.0909090909090912E-2</v>
      </c>
      <c r="C48" s="88">
        <f t="shared" si="0"/>
        <v>0</v>
      </c>
    </row>
    <row r="49" spans="1:3" x14ac:dyDescent="0.2">
      <c r="A49" s="88" t="s">
        <v>111</v>
      </c>
      <c r="B49" s="91" t="s">
        <v>111</v>
      </c>
      <c r="C49" s="88">
        <f t="shared" si="0"/>
        <v>1</v>
      </c>
    </row>
    <row r="50" spans="1:3" x14ac:dyDescent="0.2">
      <c r="A50" s="88">
        <v>2000</v>
      </c>
      <c r="B50" s="91" t="s">
        <v>111</v>
      </c>
      <c r="C50" s="88">
        <f t="shared" si="0"/>
        <v>0</v>
      </c>
    </row>
    <row r="51" spans="1:3" x14ac:dyDescent="0.2">
      <c r="A51" s="88" t="s">
        <v>111</v>
      </c>
      <c r="B51" s="88">
        <v>2000</v>
      </c>
      <c r="C51" s="88">
        <f t="shared" si="0"/>
        <v>0</v>
      </c>
    </row>
    <row r="52" spans="1:3" x14ac:dyDescent="0.2">
      <c r="A52" s="88">
        <v>400</v>
      </c>
      <c r="B52" s="88">
        <v>0</v>
      </c>
      <c r="C52" s="88">
        <f t="shared" si="0"/>
        <v>0</v>
      </c>
    </row>
    <row r="53" spans="1:3" x14ac:dyDescent="0.2">
      <c r="A53" s="88">
        <v>1200</v>
      </c>
      <c r="B53" s="88">
        <v>400</v>
      </c>
      <c r="C53" s="88">
        <f t="shared" si="0"/>
        <v>0</v>
      </c>
    </row>
    <row r="54" spans="1:3" x14ac:dyDescent="0.2">
      <c r="A54" s="88">
        <v>400</v>
      </c>
      <c r="B54" s="88">
        <v>1200</v>
      </c>
      <c r="C54" s="88">
        <f t="shared" si="0"/>
        <v>0</v>
      </c>
    </row>
    <row r="55" spans="1:3" x14ac:dyDescent="0.2">
      <c r="A55" s="88" t="s">
        <v>111</v>
      </c>
      <c r="B55" s="88">
        <v>400</v>
      </c>
      <c r="C55" s="88">
        <f t="shared" si="0"/>
        <v>0</v>
      </c>
    </row>
    <row r="56" spans="1:3" x14ac:dyDescent="0.2">
      <c r="A56" s="88">
        <v>0</v>
      </c>
      <c r="B56" s="88">
        <v>0</v>
      </c>
      <c r="C56" s="88">
        <f t="shared" si="0"/>
        <v>1</v>
      </c>
    </row>
    <row r="57" spans="1:3" x14ac:dyDescent="0.2">
      <c r="A57" s="88">
        <v>2800</v>
      </c>
      <c r="B57" s="88">
        <v>0</v>
      </c>
      <c r="C57" s="88">
        <f t="shared" si="0"/>
        <v>0</v>
      </c>
    </row>
    <row r="58" spans="1:3" x14ac:dyDescent="0.2">
      <c r="A58" s="88">
        <v>4000</v>
      </c>
      <c r="B58" s="88">
        <v>2800</v>
      </c>
      <c r="C58" s="88">
        <f t="shared" si="0"/>
        <v>0</v>
      </c>
    </row>
    <row r="59" spans="1:3" x14ac:dyDescent="0.2">
      <c r="A59" s="88" t="s">
        <v>111</v>
      </c>
      <c r="B59" s="88">
        <v>4000</v>
      </c>
      <c r="C59" s="88">
        <f t="shared" si="0"/>
        <v>0</v>
      </c>
    </row>
    <row r="60" spans="1:3" x14ac:dyDescent="0.2">
      <c r="A60" s="88" t="s">
        <v>111</v>
      </c>
      <c r="B60" s="88">
        <v>0</v>
      </c>
      <c r="C60" s="88">
        <f t="shared" si="0"/>
        <v>0</v>
      </c>
    </row>
    <row r="61" spans="1:3" x14ac:dyDescent="0.2">
      <c r="B61" s="88">
        <v>0</v>
      </c>
      <c r="C61" s="88">
        <f t="shared" si="0"/>
        <v>1</v>
      </c>
    </row>
    <row r="112" spans="1:1" x14ac:dyDescent="0.2">
      <c r="A112" s="88" t="s">
        <v>83</v>
      </c>
    </row>
    <row r="113" spans="1:1" x14ac:dyDescent="0.2">
      <c r="A113" s="88">
        <v>5</v>
      </c>
    </row>
    <row r="343" spans="1:1" x14ac:dyDescent="0.2">
      <c r="A343" s="88" t="s">
        <v>83</v>
      </c>
    </row>
    <row r="344" spans="1:1" x14ac:dyDescent="0.2">
      <c r="A344" s="88">
        <v>5</v>
      </c>
    </row>
    <row r="391" spans="1:1" x14ac:dyDescent="0.2">
      <c r="A391" s="88" t="s">
        <v>162</v>
      </c>
    </row>
    <row r="392" spans="1:1" x14ac:dyDescent="0.2">
      <c r="A392" s="88" t="s">
        <v>163</v>
      </c>
    </row>
    <row r="393" spans="1:1" x14ac:dyDescent="0.2">
      <c r="A393" s="88" t="s">
        <v>164</v>
      </c>
    </row>
    <row r="402" spans="1:1" x14ac:dyDescent="0.2">
      <c r="A402" s="88">
        <v>5</v>
      </c>
    </row>
    <row r="403" spans="1:1" x14ac:dyDescent="0.2">
      <c r="A403" s="88">
        <v>3200</v>
      </c>
    </row>
    <row r="404" spans="1:1" x14ac:dyDescent="0.2">
      <c r="A404" s="88">
        <v>320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D7622FA-DBA7-4135-9C99-4F3CDF4C82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Summary Sheet</vt:lpstr>
      <vt:lpstr>Basic</vt:lpstr>
      <vt:lpstr>Intermediate  </vt:lpstr>
      <vt:lpstr>Expert</vt:lpstr>
      <vt:lpstr>Sheet1</vt:lpstr>
      <vt:lpstr>'Intermediate  '!Excel_test_support_4.1_1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chaitra</dc:creator>
  <cp:lastModifiedBy>Mohd Rehan</cp:lastModifiedBy>
  <dcterms:created xsi:type="dcterms:W3CDTF">2014-02-09T13:49:50Z</dcterms:created>
  <dcterms:modified xsi:type="dcterms:W3CDTF">2022-02-14T12:31:08Z</dcterms:modified>
</cp:coreProperties>
</file>